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paul\Downloads\"/>
    </mc:Choice>
  </mc:AlternateContent>
  <xr:revisionPtr revIDLastSave="0" documentId="13_ncr:1_{6524D7B2-DBB1-4954-891B-7FF717221D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 UNIVERSAL TRADING LLC" sheetId="1" r:id="rId1"/>
    <sheet name="NERS JEWELRY AND DIAMOND" sheetId="2" r:id="rId2"/>
    <sheet name="SWEET AND GLAM" sheetId="3" r:id="rId3"/>
    <sheet name="J'S JEWELLERY" sheetId="4" r:id="rId4"/>
    <sheet name="DATA'S" sheetId="5" r:id="rId5"/>
  </sheets>
  <definedNames>
    <definedName name="_xlnm._FilterDatabase" localSheetId="0" hidden="1">'AR UNIVERSAL TRADING LLC'!$A$5:$N$39</definedName>
    <definedName name="_xlnm._FilterDatabase" localSheetId="3" hidden="1">'J''S JEWELLERY'!$A$5:$N$37</definedName>
    <definedName name="_xlnm._FilterDatabase" localSheetId="1" hidden="1">'NERS JEWELRY AND DIAMOND'!$A$5:$N$37</definedName>
    <definedName name="_xlnm._FilterDatabase" localSheetId="2" hidden="1">'SWEET AND GLAM'!$A$5:$N$37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4" i="2"/>
  <c r="C4" i="3"/>
  <c r="C4" i="4"/>
  <c r="M14" i="1"/>
  <c r="M9" i="1"/>
  <c r="M39" i="4" l="1"/>
  <c r="M4" i="4" s="1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E4" i="4"/>
  <c r="M39" i="3"/>
  <c r="M4" i="3" s="1"/>
  <c r="K39" i="3"/>
  <c r="M38" i="3"/>
  <c r="K38" i="3"/>
  <c r="K37" i="3"/>
  <c r="M36" i="3"/>
  <c r="K36" i="3"/>
  <c r="M35" i="3"/>
  <c r="K35" i="3"/>
  <c r="M34" i="3"/>
  <c r="K34" i="3"/>
  <c r="M33" i="3"/>
  <c r="K33" i="3"/>
  <c r="M32" i="3"/>
  <c r="K32" i="3"/>
  <c r="M31" i="3"/>
  <c r="K31" i="3"/>
  <c r="M30" i="3"/>
  <c r="K30" i="3"/>
  <c r="M29" i="3"/>
  <c r="K29" i="3"/>
  <c r="M28" i="3"/>
  <c r="K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E4" i="3"/>
  <c r="M39" i="2"/>
  <c r="M4" i="2" s="1"/>
  <c r="K39" i="2"/>
  <c r="M38" i="2"/>
  <c r="K38" i="2"/>
  <c r="K37" i="2"/>
  <c r="M36" i="2"/>
  <c r="K36" i="2"/>
  <c r="M35" i="2"/>
  <c r="K35" i="2"/>
  <c r="M34" i="2"/>
  <c r="K34" i="2"/>
  <c r="M33" i="2"/>
  <c r="K33" i="2"/>
  <c r="M32" i="2"/>
  <c r="K32" i="2"/>
  <c r="M31" i="2"/>
  <c r="K31" i="2"/>
  <c r="M30" i="2"/>
  <c r="K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E4" i="2"/>
  <c r="E4" i="1"/>
  <c r="M6" i="1"/>
  <c r="M7" i="1"/>
  <c r="M8" i="1"/>
  <c r="M10" i="1"/>
  <c r="M11" i="1"/>
  <c r="M12" i="1"/>
  <c r="M13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7" i="3" l="1"/>
  <c r="L4" i="3" s="1"/>
  <c r="M37" i="2"/>
  <c r="L4" i="2" s="1"/>
  <c r="L4" i="4"/>
  <c r="K4" i="4"/>
  <c r="K30" i="1"/>
  <c r="K31" i="1"/>
  <c r="K32" i="1"/>
  <c r="K33" i="1"/>
  <c r="K34" i="1"/>
  <c r="K35" i="1"/>
  <c r="K36" i="1"/>
  <c r="K37" i="1"/>
  <c r="K38" i="1"/>
  <c r="K40" i="1"/>
  <c r="M38" i="1"/>
  <c r="M37" i="1"/>
  <c r="M36" i="1"/>
  <c r="M35" i="1"/>
  <c r="M34" i="1"/>
  <c r="M33" i="1"/>
  <c r="M40" i="1"/>
  <c r="K4" i="3" l="1"/>
  <c r="K4" i="2"/>
  <c r="K41" i="1"/>
  <c r="M41" i="1"/>
  <c r="M4" i="1" s="1"/>
  <c r="K39" i="1"/>
  <c r="M39" i="1"/>
  <c r="K4" i="1" l="1"/>
  <c r="L4" i="1"/>
</calcChain>
</file>

<file path=xl/sharedStrings.xml><?xml version="1.0" encoding="utf-8"?>
<sst xmlns="http://schemas.openxmlformats.org/spreadsheetml/2006/main" count="210" uniqueCount="116">
  <si>
    <t>Masterlist Form</t>
  </si>
  <si>
    <t>Location:</t>
  </si>
  <si>
    <t>LIVER NAME</t>
  </si>
  <si>
    <t>Date:</t>
  </si>
  <si>
    <t>TOTAL AMOUNT</t>
  </si>
  <si>
    <t>No.</t>
  </si>
  <si>
    <t xml:space="preserve">Code </t>
  </si>
  <si>
    <t>Currency</t>
  </si>
  <si>
    <t>Category</t>
  </si>
  <si>
    <t>Source</t>
  </si>
  <si>
    <t>Qty</t>
  </si>
  <si>
    <t>T.O.G</t>
  </si>
  <si>
    <t>Client Grams</t>
  </si>
  <si>
    <t>Actual Grams</t>
  </si>
  <si>
    <t xml:space="preserve">Rate </t>
  </si>
  <si>
    <t>Amount</t>
  </si>
  <si>
    <t>Remarks</t>
  </si>
  <si>
    <t>AED TOTAL</t>
  </si>
  <si>
    <t>USD TOTAL</t>
  </si>
  <si>
    <t>PHP TOTAL</t>
  </si>
  <si>
    <t>Name</t>
  </si>
  <si>
    <t>GOLD RATE:</t>
  </si>
  <si>
    <t>TOTAL GRAMS</t>
  </si>
  <si>
    <t>DESCRIPTION</t>
  </si>
  <si>
    <t>AR UNIVERSAL TRADING LLC</t>
  </si>
  <si>
    <t>OFFICE 1</t>
  </si>
  <si>
    <t>PAPS</t>
  </si>
  <si>
    <t>NERS JEWELRY AND DIAMOND</t>
  </si>
  <si>
    <t>SWEET AND GLAM</t>
  </si>
  <si>
    <t>CLIENT NAME</t>
  </si>
  <si>
    <t>Address</t>
  </si>
  <si>
    <t>Number</t>
  </si>
  <si>
    <t>Item Description</t>
  </si>
  <si>
    <t>925 SILVER BRACELET S6</t>
  </si>
  <si>
    <t>925 SILVER BRACELET S6.5</t>
  </si>
  <si>
    <t>925 SILVER BRACELET S7</t>
  </si>
  <si>
    <t>925 SILVER BRACELET S7.5</t>
  </si>
  <si>
    <t>925 SILVER BRACELET S8</t>
  </si>
  <si>
    <t>925 SILVER BRACELET S8.5</t>
  </si>
  <si>
    <t>925 SILVER BRACELET S6-7</t>
  </si>
  <si>
    <t>925 SILVER BRACELET S6-8</t>
  </si>
  <si>
    <t>925 SILVER BRACELET S7-8</t>
  </si>
  <si>
    <t>925 SILVER BANGLE S16</t>
  </si>
  <si>
    <t>925 SILVER BANGLE S17</t>
  </si>
  <si>
    <t>925 SILVER BANGLE S18</t>
  </si>
  <si>
    <t>925 SILVER BANGLE S19</t>
  </si>
  <si>
    <t>925 SILVER BANGLE S15/16</t>
  </si>
  <si>
    <t>925 SILVER BANGLE S16/17</t>
  </si>
  <si>
    <t>925 SILVER BANGLE S17/18</t>
  </si>
  <si>
    <t>925 SILVER RING S5</t>
  </si>
  <si>
    <t>925 SILVER RING S5.5</t>
  </si>
  <si>
    <t>925 SILVER RING S6</t>
  </si>
  <si>
    <t>925 SILVER RING S6.5</t>
  </si>
  <si>
    <t>925 SILVER RING S7</t>
  </si>
  <si>
    <t>925 SILVER RING S7.5</t>
  </si>
  <si>
    <t>925 SILVER RING S8</t>
  </si>
  <si>
    <t>925 SILVER RING S8.5</t>
  </si>
  <si>
    <t>925 SILVER RING S9</t>
  </si>
  <si>
    <t>925 SILVER RING S9.5</t>
  </si>
  <si>
    <t>925 SILVER RING S10</t>
  </si>
  <si>
    <t>925 SILVER RING S10.5</t>
  </si>
  <si>
    <t>925 SILVER RING S11</t>
  </si>
  <si>
    <t>925 SILVER RING ADJUSTABLE</t>
  </si>
  <si>
    <t>925 SILVER SET</t>
  </si>
  <si>
    <t>925 SILVER HALFSET</t>
  </si>
  <si>
    <t>925 SILVER PENDANT SET</t>
  </si>
  <si>
    <t>925 SILVER EARRINGS &amp; NECKLACE SET</t>
  </si>
  <si>
    <t>925 SILVER BRACELET &amp; RING SET</t>
  </si>
  <si>
    <t>925 SILVER NECKLACE S16</t>
  </si>
  <si>
    <t>925 SILVER NECKLACE S18</t>
  </si>
  <si>
    <t>925 SILVER NECKLACE S20</t>
  </si>
  <si>
    <t>925 SILVER NECKLACE S22</t>
  </si>
  <si>
    <t>925 SILVER NECKLACE S24</t>
  </si>
  <si>
    <t>925 SILVER NECKLACE S16-18</t>
  </si>
  <si>
    <t>925 SILVER NECKLACE S18-20</t>
  </si>
  <si>
    <t>925 SILVER NECKLACE S20-22</t>
  </si>
  <si>
    <t>925 SILVER NECKLACE S22-24</t>
  </si>
  <si>
    <t>925 SILVER NECKLACE S16-20</t>
  </si>
  <si>
    <t>10K PIYAO</t>
  </si>
  <si>
    <t>925 SILVER EARRINGS</t>
  </si>
  <si>
    <t>925 SILVER BANGLE SET</t>
  </si>
  <si>
    <t>999 SILVER BAR</t>
  </si>
  <si>
    <t>925 SILVER PENDANT</t>
  </si>
  <si>
    <t>AED</t>
  </si>
  <si>
    <t>PHP</t>
  </si>
  <si>
    <t>USD</t>
  </si>
  <si>
    <t>CAD</t>
  </si>
  <si>
    <t>NOD</t>
  </si>
  <si>
    <t>EU</t>
  </si>
  <si>
    <t>NZD</t>
  </si>
  <si>
    <t>NON BRANDED SILVER</t>
  </si>
  <si>
    <t>BRANDED SILVER</t>
  </si>
  <si>
    <t>SOURCE</t>
  </si>
  <si>
    <t>OFFICE 2</t>
  </si>
  <si>
    <t>S-925</t>
  </si>
  <si>
    <t>S-999</t>
  </si>
  <si>
    <t>G-18K</t>
  </si>
  <si>
    <t>G-21K</t>
  </si>
  <si>
    <t>G-22K</t>
  </si>
  <si>
    <t>G-24K</t>
  </si>
  <si>
    <t>G-VCA</t>
  </si>
  <si>
    <t>S-VCA</t>
  </si>
  <si>
    <t>LIVER</t>
  </si>
  <si>
    <t>ROSE</t>
  </si>
  <si>
    <t>YHEN</t>
  </si>
  <si>
    <t>PAGES</t>
  </si>
  <si>
    <t>J'S JEWELLERY</t>
  </si>
  <si>
    <t>925 SLIVER NECKLACE S17-19</t>
  </si>
  <si>
    <t>925 SILVER BRACELET ADJUSTABLE</t>
  </si>
  <si>
    <t>925 SILVER NECKLACE S19</t>
  </si>
  <si>
    <t>925 SILVER EARRINGS 2 PAIRS</t>
  </si>
  <si>
    <t>925 SILVER NECKLACE S15-17</t>
  </si>
  <si>
    <t>925 SILVER EAR CUFF</t>
  </si>
  <si>
    <t>925 SILVER BRACELET S6.5-7</t>
  </si>
  <si>
    <t>925 SILVER RING S6 RESIZE TO S5 FEE 35</t>
  </si>
  <si>
    <t>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</si>
</sst>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[$-409]mmmm\ d\,\ yyyy;@"/>
    <numFmt numFmtId="166" formatCode="_-[$AED]\ * #,##0.00_-;\-[$AED]\ * #,##0.00_-;_-[$AED]\ * &quot;-&quot;??_-;_-@_-"/>
    <numFmt numFmtId="167" formatCode="_-[$USD]\ * #,##0.00_-;\-[$USD]\ * #,##0.00_-;_-[$USD]\ * &quot;-&quot;??_-;_-@_-"/>
    <numFmt numFmtId="168" formatCode="_-[$PHP]\ * #,##0.00_-;\-[$PHP]\ * #,##0.00_-;_-[$PHP]\ * &quot;-&quot;??_-;_-@_-"/>
    <numFmt numFmtId="169" formatCode="_([$AED]\ * #,##0.00_);_([$AED]\ * \(#,##0.00\);_([$AED]\ * &quot;-&quot;??_);_(@_)"/>
  </numFmts>
  <fonts count="17" x14ac:knownFonts="1">
    <font>
      <sz val="12"/>
      <color theme="1"/>
      <name val="Aptos Narrow"/>
      <charset val="134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name val="Lato"/>
      <family val="2"/>
    </font>
    <font>
      <sz val="12"/>
      <color theme="1"/>
      <name val="Lato"/>
      <family val="2"/>
    </font>
    <font>
      <b/>
      <sz val="18"/>
      <color theme="1"/>
      <name val="Lato"/>
      <family val="2"/>
    </font>
    <font>
      <b/>
      <sz val="48"/>
      <color theme="1"/>
      <name val="Cinzel"/>
    </font>
    <font>
      <b/>
      <sz val="18"/>
      <color theme="1"/>
      <name val="Cinzel"/>
    </font>
    <font>
      <b/>
      <sz val="18"/>
      <color rgb="FFFF0000"/>
      <name val="Cinzel"/>
    </font>
    <font>
      <b/>
      <sz val="14"/>
      <color theme="1"/>
      <name val="Cinzel"/>
    </font>
    <font>
      <b/>
      <sz val="48"/>
      <color theme="1"/>
      <name val="Aptos Display"/>
      <family val="2"/>
      <scheme val="major"/>
    </font>
    <font>
      <sz val="8"/>
      <name val="Aptos Narrow"/>
      <charset val="134"/>
      <scheme val="minor"/>
    </font>
    <font>
      <sz val="12"/>
      <color theme="1"/>
      <name val="Arial"/>
      <family val="2"/>
    </font>
    <font>
      <sz val="12"/>
      <color theme="1"/>
      <name val="Aptos"/>
      <family val="2"/>
    </font>
    <font>
      <b/>
      <sz val="14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1EBF8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1" xfId="1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43" fontId="7" fillId="6" borderId="5" xfId="0" applyNumberFormat="1" applyFont="1" applyFill="1" applyBorder="1" applyAlignment="1">
      <alignment vertical="center"/>
    </xf>
    <xf numFmtId="43" fontId="7" fillId="6" borderId="1" xfId="0" applyNumberFormat="1" applyFont="1" applyFill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center" vertical="center"/>
    </xf>
    <xf numFmtId="167" fontId="7" fillId="6" borderId="1" xfId="0" applyNumberFormat="1" applyFont="1" applyFill="1" applyBorder="1" applyAlignment="1">
      <alignment horizontal="center" vertical="center"/>
    </xf>
    <xf numFmtId="168" fontId="7" fillId="6" borderId="1" xfId="1" applyNumberFormat="1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 applyProtection="1">
      <alignment horizontal="center" vertical="center"/>
      <protection locked="0"/>
    </xf>
    <xf numFmtId="43" fontId="9" fillId="4" borderId="3" xfId="1" applyFont="1" applyFill="1" applyBorder="1" applyAlignment="1" applyProtection="1">
      <alignment horizontal="center" vertical="center"/>
    </xf>
    <xf numFmtId="166" fontId="9" fillId="4" borderId="1" xfId="0" applyNumberFormat="1" applyFont="1" applyFill="1" applyBorder="1" applyAlignment="1">
      <alignment horizontal="center" vertical="center"/>
    </xf>
    <xf numFmtId="168" fontId="9" fillId="4" borderId="1" xfId="1" applyNumberFormat="1" applyFont="1" applyFill="1" applyBorder="1" applyAlignment="1" applyProtection="1">
      <alignment horizontal="center" vertical="center"/>
    </xf>
    <xf numFmtId="43" fontId="10" fillId="4" borderId="1" xfId="1" applyFont="1" applyFill="1" applyBorder="1" applyAlignment="1" applyProtection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 wrapText="1"/>
    </xf>
    <xf numFmtId="169" fontId="9" fillId="4" borderId="1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3" fillId="0" borderId="0" xfId="0" applyFont="1"/>
    <xf numFmtId="0" fontId="5" fillId="8" borderId="1" xfId="1" applyNumberFormat="1" applyFont="1" applyFill="1" applyBorder="1" applyAlignment="1">
      <alignment horizontal="center" vertical="center" wrapText="1"/>
    </xf>
    <xf numFmtId="2" fontId="5" fillId="8" borderId="1" xfId="0" applyNumberFormat="1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43" fontId="9" fillId="4" borderId="2" xfId="1" applyFont="1" applyFill="1" applyBorder="1" applyAlignment="1" applyProtection="1">
      <alignment horizontal="center" vertical="center"/>
    </xf>
    <xf numFmtId="43" fontId="9" fillId="4" borderId="3" xfId="1" applyFont="1" applyFill="1" applyBorder="1" applyAlignment="1" applyProtection="1">
      <alignment horizontal="center" vertical="center"/>
    </xf>
    <xf numFmtId="43" fontId="9" fillId="4" borderId="4" xfId="1" applyFont="1" applyFill="1" applyBorder="1" applyAlignment="1" applyProtection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</cellXfs>
  <cellStyles count="3">
    <cellStyle name="Comma" xfId="1" builtinId="3"/>
    <cellStyle name="Comma 3" xfId="2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FF7474"/>
      <color rgb="FFF1EB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1"/>
  <sheetViews>
    <sheetView tabSelected="1" zoomScale="56" zoomScaleNormal="37" workbookViewId="0">
      <selection activeCell="D11" sqref="D11"/>
    </sheetView>
  </sheetViews>
  <sheetFormatPr defaultColWidth="11" defaultRowHeight="15.6" x14ac:dyDescent="0.25"/>
  <cols>
    <col min="1" max="1" width="4.5" bestFit="1" customWidth="1"/>
    <col min="2" max="2" width="17.59765625" customWidth="1"/>
    <col min="3" max="3" width="36.796875" customWidth="1"/>
    <col min="4" max="4" width="49.59765625" customWidth="1"/>
    <col min="5" max="5" width="14.09765625" bestFit="1" customWidth="1"/>
    <col min="6" max="6" width="13.69921875" customWidth="1"/>
    <col min="7" max="7" width="10.59765625" bestFit="1" customWidth="1"/>
    <col min="8" max="8" width="6.5" customWidth="1"/>
    <col min="9" max="9" width="10.3984375" style="2" customWidth="1"/>
    <col min="10" max="10" width="19" style="2" customWidth="1"/>
    <col min="11" max="11" width="26.296875" style="2" hidden="1" customWidth="1"/>
    <col min="12" max="12" width="24.59765625" bestFit="1" customWidth="1"/>
    <col min="13" max="13" width="28.09765625" bestFit="1" customWidth="1"/>
    <col min="14" max="14" width="36.3984375" customWidth="1"/>
    <col min="15" max="15" width="28.5" customWidth="1"/>
    <col min="16" max="16" width="26.8984375" customWidth="1"/>
  </cols>
  <sheetData>
    <row r="1" spans="1:16" ht="66.599999999999994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3"/>
      <c r="P1" s="13"/>
    </row>
    <row r="2" spans="1:16" ht="25.2" x14ac:dyDescent="0.25">
      <c r="A2" s="38" t="s">
        <v>24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14"/>
      <c r="P2" s="14"/>
    </row>
    <row r="3" spans="1:16" ht="25.2" x14ac:dyDescent="0.25">
      <c r="A3" s="38" t="s">
        <v>1</v>
      </c>
      <c r="B3" s="38"/>
      <c r="C3" s="38"/>
      <c r="D3" s="14" t="s">
        <v>115</v>
      </c>
      <c r="E3" s="38" t="s">
        <v>2</v>
      </c>
      <c r="F3" s="38"/>
      <c r="G3" s="38"/>
      <c r="H3" s="38"/>
      <c r="I3" s="38" t="s">
        <v>26</v>
      </c>
      <c r="J3" s="38"/>
      <c r="K3" s="38"/>
      <c r="L3" s="38"/>
      <c r="M3" s="38"/>
      <c r="N3" s="38"/>
      <c r="O3" s="14"/>
      <c r="P3" s="14"/>
    </row>
    <row r="4" spans="1:16" ht="25.2" x14ac:dyDescent="0.25">
      <c r="A4" s="32" t="s">
        <v>3</v>
      </c>
      <c r="B4" s="33"/>
      <c r="C4" s="23">
        <f ca="1">TODAY()</f>
        <v>46228</v>
      </c>
      <c r="D4" s="15" t="s">
        <v>22</v>
      </c>
      <c r="E4" s="34">
        <f>SUM(J6:J38)</f>
        <v>0</v>
      </c>
      <c r="F4" s="35"/>
      <c r="G4" s="34" t="s">
        <v>4</v>
      </c>
      <c r="H4" s="36"/>
      <c r="I4" s="35"/>
      <c r="J4" s="16"/>
      <c r="K4" s="17">
        <f>M39</f>
        <v>0</v>
      </c>
      <c r="L4" s="22">
        <f>M39</f>
        <v>0</v>
      </c>
      <c r="M4" s="18">
        <f>M41</f>
        <v>0</v>
      </c>
      <c r="N4" s="19" t="s">
        <v>21</v>
      </c>
      <c r="O4" s="19"/>
      <c r="P4" s="19"/>
    </row>
    <row r="5" spans="1:16" s="1" customFormat="1" ht="33.9" customHeight="1" x14ac:dyDescent="0.35">
      <c r="A5" s="20" t="s">
        <v>5</v>
      </c>
      <c r="B5" s="20" t="s">
        <v>6</v>
      </c>
      <c r="C5" s="20" t="s">
        <v>20</v>
      </c>
      <c r="D5" s="20" t="s">
        <v>23</v>
      </c>
      <c r="E5" s="20" t="s">
        <v>7</v>
      </c>
      <c r="F5" s="20" t="s">
        <v>8</v>
      </c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30</v>
      </c>
      <c r="P5" s="20" t="s">
        <v>31</v>
      </c>
    </row>
    <row r="6" spans="1:16" ht="40.200000000000003" customHeight="1" x14ac:dyDescent="0.25">
      <c r="A6" s="3">
        <v>1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>
        <f t="shared" ref="M6:M32" si="0">ROUND(J6*L6,0)</f>
        <v>0</v>
      </c>
      <c r="N6" s="5"/>
      <c r="O6" s="4"/>
      <c r="P6" s="4"/>
    </row>
    <row r="7" spans="1:16" ht="40.200000000000003" customHeight="1" x14ac:dyDescent="0.25">
      <c r="A7" s="3">
        <v>2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>
        <f t="shared" si="0"/>
        <v>0</v>
      </c>
      <c r="N7" s="5"/>
      <c r="O7" s="4"/>
      <c r="P7" s="4"/>
    </row>
    <row r="8" spans="1:16" ht="40.200000000000003" customHeight="1" x14ac:dyDescent="0.25">
      <c r="A8" s="3">
        <v>3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>
        <f t="shared" si="0"/>
        <v>0</v>
      </c>
      <c r="N8" s="5"/>
      <c r="O8" s="4"/>
      <c r="P8" s="4"/>
    </row>
    <row r="9" spans="1:16" ht="40.200000000000003" customHeight="1" x14ac:dyDescent="0.25">
      <c r="A9" s="3">
        <v>4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>
        <f t="shared" si="0"/>
        <v>0</v>
      </c>
      <c r="N9" s="5"/>
      <c r="O9" s="4"/>
      <c r="P9" s="4"/>
    </row>
    <row r="10" spans="1:16" ht="40.200000000000003" customHeight="1" x14ac:dyDescent="0.25">
      <c r="A10" s="3">
        <v>5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>
        <f t="shared" si="0"/>
        <v>0</v>
      </c>
      <c r="N10" s="5"/>
      <c r="O10" s="4"/>
      <c r="P10" s="4"/>
    </row>
    <row r="11" spans="1:16" ht="40.200000000000003" customHeight="1" x14ac:dyDescent="0.25">
      <c r="A11" s="3">
        <v>6</v>
      </c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>
        <f t="shared" si="0"/>
        <v>0</v>
      </c>
      <c r="N11" s="5"/>
      <c r="O11" s="4"/>
      <c r="P11" s="4"/>
    </row>
    <row r="12" spans="1:16" ht="40.200000000000003" customHeight="1" x14ac:dyDescent="0.25">
      <c r="A12" s="3">
        <v>7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>
        <f t="shared" si="0"/>
        <v>0</v>
      </c>
      <c r="N12" s="5"/>
      <c r="O12" s="4"/>
      <c r="P12" s="4"/>
    </row>
    <row r="13" spans="1:16" ht="40.200000000000003" customHeight="1" x14ac:dyDescent="0.25">
      <c r="A13" s="3">
        <v>8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>
        <f t="shared" si="0"/>
        <v>0</v>
      </c>
      <c r="N13" s="5"/>
      <c r="O13" s="4"/>
      <c r="P13" s="4"/>
    </row>
    <row r="14" spans="1:16" ht="40.200000000000003" customHeight="1" x14ac:dyDescent="0.25">
      <c r="A14" s="3">
        <v>9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>
        <f t="shared" si="0"/>
        <v>0</v>
      </c>
      <c r="N14" s="5"/>
      <c r="O14" s="4"/>
      <c r="P14" s="4"/>
    </row>
    <row r="15" spans="1:16" ht="40.200000000000003" customHeight="1" x14ac:dyDescent="0.25">
      <c r="A15" s="3">
        <v>10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>
        <f t="shared" si="0"/>
        <v>0</v>
      </c>
      <c r="N15" s="5"/>
      <c r="O15" s="4"/>
      <c r="P15" s="4"/>
    </row>
    <row r="16" spans="1:16" ht="40.200000000000003" customHeight="1" x14ac:dyDescent="0.25">
      <c r="A16" s="3">
        <v>11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>
        <f t="shared" si="0"/>
        <v>0</v>
      </c>
      <c r="N16" s="5"/>
      <c r="O16" s="4"/>
      <c r="P16" s="4"/>
    </row>
    <row r="17" spans="1:16" ht="40.200000000000003" customHeight="1" x14ac:dyDescent="0.25">
      <c r="A17" s="3">
        <v>12</v>
      </c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>
        <f t="shared" si="0"/>
        <v>0</v>
      </c>
      <c r="N17" s="5"/>
      <c r="O17" s="4"/>
      <c r="P17" s="4"/>
    </row>
    <row r="18" spans="1:16" ht="40.200000000000003" customHeight="1" x14ac:dyDescent="0.25">
      <c r="A18" s="3">
        <v>13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>
        <f t="shared" si="0"/>
        <v>0</v>
      </c>
      <c r="N18" s="5"/>
      <c r="O18" s="4"/>
      <c r="P18" s="4"/>
    </row>
    <row r="19" spans="1:16" ht="40.200000000000003" customHeight="1" x14ac:dyDescent="0.25">
      <c r="A19" s="3">
        <v>14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>
        <f t="shared" si="0"/>
        <v>0</v>
      </c>
      <c r="N19" s="5"/>
      <c r="O19" s="4"/>
      <c r="P19" s="4"/>
    </row>
    <row r="20" spans="1:16" ht="40.200000000000003" customHeight="1" x14ac:dyDescent="0.25">
      <c r="A20" s="3">
        <v>15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>
        <f t="shared" si="0"/>
        <v>0</v>
      </c>
      <c r="N20" s="5"/>
      <c r="O20" s="4"/>
      <c r="P20" s="4"/>
    </row>
    <row r="21" spans="1:16" ht="40.200000000000003" customHeight="1" x14ac:dyDescent="0.25">
      <c r="A21" s="3">
        <v>16</v>
      </c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>
        <f t="shared" si="0"/>
        <v>0</v>
      </c>
      <c r="N21" s="5"/>
      <c r="O21" s="4"/>
      <c r="P21" s="4"/>
    </row>
    <row r="22" spans="1:16" ht="40.200000000000003" customHeight="1" x14ac:dyDescent="0.25">
      <c r="A22" s="3">
        <v>17</v>
      </c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>
        <f t="shared" si="0"/>
        <v>0</v>
      </c>
      <c r="N22" s="5"/>
      <c r="O22" s="4"/>
      <c r="P22" s="4"/>
    </row>
    <row r="23" spans="1:16" ht="40.200000000000003" customHeight="1" x14ac:dyDescent="0.25">
      <c r="A23" s="3">
        <v>18</v>
      </c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>
        <f t="shared" si="0"/>
        <v>0</v>
      </c>
      <c r="N23" s="5"/>
      <c r="P23" s="4"/>
    </row>
    <row r="24" spans="1:16" ht="40.200000000000003" customHeight="1" x14ac:dyDescent="0.25">
      <c r="A24" s="3">
        <v>19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>
        <f t="shared" si="0"/>
        <v>0</v>
      </c>
      <c r="N24" s="5"/>
      <c r="O24" s="4"/>
      <c r="P24" s="4"/>
    </row>
    <row r="25" spans="1:16" ht="40.200000000000003" customHeight="1" x14ac:dyDescent="0.25">
      <c r="A25" s="3">
        <v>20</v>
      </c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>
        <f t="shared" si="0"/>
        <v>0</v>
      </c>
      <c r="N25" s="5"/>
      <c r="O25" s="4"/>
      <c r="P25" s="4"/>
    </row>
    <row r="26" spans="1:16" ht="40.200000000000003" customHeight="1" x14ac:dyDescent="0.25">
      <c r="A26" s="3">
        <v>21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>
        <f t="shared" si="0"/>
        <v>0</v>
      </c>
      <c r="N26" s="5"/>
      <c r="O26" s="4"/>
      <c r="P26" s="4"/>
    </row>
    <row r="27" spans="1:16" ht="40.200000000000003" customHeight="1" x14ac:dyDescent="0.25">
      <c r="A27" s="3">
        <v>22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>
        <f t="shared" si="0"/>
        <v>0</v>
      </c>
      <c r="N27" s="5"/>
      <c r="O27" s="4"/>
      <c r="P27" s="4"/>
    </row>
    <row r="28" spans="1:16" ht="40.200000000000003" customHeight="1" x14ac:dyDescent="0.25">
      <c r="A28" s="3">
        <v>23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>
        <f t="shared" si="0"/>
        <v>0</v>
      </c>
      <c r="N28" s="5"/>
      <c r="O28" s="4"/>
      <c r="P28" s="4"/>
    </row>
    <row r="29" spans="1:16" ht="40.200000000000003" customHeight="1" x14ac:dyDescent="0.25">
      <c r="A29" s="3">
        <v>24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>
        <f t="shared" si="0"/>
        <v>0</v>
      </c>
      <c r="N29" s="5"/>
      <c r="O29" s="4"/>
      <c r="P29" s="4"/>
    </row>
    <row r="30" spans="1:16" ht="40.200000000000003" customHeight="1" x14ac:dyDescent="0.25">
      <c r="A30" s="3">
        <v>25</v>
      </c>
      <c r="B30" s="3"/>
      <c r="C30" s="4"/>
      <c r="D30" s="4"/>
      <c r="E30" s="4"/>
      <c r="F30" s="4"/>
      <c r="G30" s="4"/>
      <c r="H30" s="4"/>
      <c r="I30" s="4"/>
      <c r="J30" s="4"/>
      <c r="K30" s="4" t="str">
        <f t="shared" ref="K30:K38" si="1">IF(J30&gt;0,J30-0.05,"This is Automatic, Don't Edit")</f>
        <v>This is Automatic, Don't Edit</v>
      </c>
      <c r="L30" s="4"/>
      <c r="M30" s="4">
        <f t="shared" si="0"/>
        <v>0</v>
      </c>
      <c r="N30" s="5"/>
      <c r="O30" s="4"/>
      <c r="P30" s="4"/>
    </row>
    <row r="31" spans="1:16" ht="40.200000000000003" customHeight="1" x14ac:dyDescent="0.25">
      <c r="A31" s="3">
        <v>26</v>
      </c>
      <c r="B31" s="3"/>
      <c r="C31" s="4"/>
      <c r="D31" s="4"/>
      <c r="E31" s="4"/>
      <c r="F31" s="4"/>
      <c r="G31" s="4"/>
      <c r="H31" s="4"/>
      <c r="I31" s="4"/>
      <c r="J31" s="4"/>
      <c r="K31" s="4" t="str">
        <f t="shared" si="1"/>
        <v>This is Automatic, Don't Edit</v>
      </c>
      <c r="L31" s="4"/>
      <c r="M31" s="4">
        <f t="shared" si="0"/>
        <v>0</v>
      </c>
      <c r="N31" s="5"/>
      <c r="O31" s="4"/>
      <c r="P31" s="4"/>
    </row>
    <row r="32" spans="1:16" ht="40.200000000000003" customHeight="1" x14ac:dyDescent="0.25">
      <c r="A32" s="3">
        <v>27</v>
      </c>
      <c r="B32" s="3"/>
      <c r="C32" s="4"/>
      <c r="D32" s="4"/>
      <c r="E32" s="4"/>
      <c r="F32" s="4"/>
      <c r="G32" s="4"/>
      <c r="H32" s="4"/>
      <c r="I32" s="4"/>
      <c r="J32" s="4"/>
      <c r="K32" s="4" t="str">
        <f t="shared" si="1"/>
        <v>This is Automatic, Don't Edit</v>
      </c>
      <c r="L32" s="4"/>
      <c r="M32" s="4">
        <f t="shared" si="0"/>
        <v>0</v>
      </c>
      <c r="N32" s="5"/>
      <c r="O32" s="4"/>
      <c r="P32" s="4"/>
    </row>
    <row r="33" spans="1:16" ht="40.200000000000003" customHeight="1" x14ac:dyDescent="0.25">
      <c r="A33" s="3">
        <v>28</v>
      </c>
      <c r="B33" s="3"/>
      <c r="C33" s="4"/>
      <c r="D33" s="4"/>
      <c r="E33" s="4"/>
      <c r="F33" s="4"/>
      <c r="G33" s="4"/>
      <c r="H33" s="4"/>
      <c r="I33" s="4"/>
      <c r="J33" s="4"/>
      <c r="K33" s="4" t="str">
        <f t="shared" si="1"/>
        <v>This is Automatic, Don't Edit</v>
      </c>
      <c r="L33" s="4"/>
      <c r="M33" s="4">
        <f t="shared" ref="M33:M38" si="2">ROUND(J33*L33,0)</f>
        <v>0</v>
      </c>
      <c r="N33" s="5"/>
      <c r="O33" s="4"/>
      <c r="P33" s="4"/>
    </row>
    <row r="34" spans="1:16" ht="40.200000000000003" customHeight="1" x14ac:dyDescent="0.25">
      <c r="A34" s="3">
        <v>29</v>
      </c>
      <c r="B34" s="3"/>
      <c r="C34" s="4"/>
      <c r="D34" s="4"/>
      <c r="E34" s="4"/>
      <c r="F34" s="4"/>
      <c r="G34" s="4"/>
      <c r="H34" s="4"/>
      <c r="I34" s="4"/>
      <c r="J34" s="4"/>
      <c r="K34" s="4" t="str">
        <f t="shared" si="1"/>
        <v>This is Automatic, Don't Edit</v>
      </c>
      <c r="L34" s="4"/>
      <c r="M34" s="4">
        <f t="shared" si="2"/>
        <v>0</v>
      </c>
      <c r="N34" s="5"/>
      <c r="O34" s="4"/>
      <c r="P34" s="4"/>
    </row>
    <row r="35" spans="1:16" ht="40.200000000000003" customHeight="1" x14ac:dyDescent="0.25">
      <c r="A35" s="3">
        <v>30</v>
      </c>
      <c r="B35" s="3"/>
      <c r="C35" s="4"/>
      <c r="D35" s="4"/>
      <c r="E35" s="4"/>
      <c r="F35" s="4"/>
      <c r="G35" s="4"/>
      <c r="H35" s="4"/>
      <c r="I35" s="4"/>
      <c r="J35" s="4"/>
      <c r="K35" s="4" t="str">
        <f t="shared" si="1"/>
        <v>This is Automatic, Don't Edit</v>
      </c>
      <c r="L35" s="4"/>
      <c r="M35" s="4">
        <f t="shared" si="2"/>
        <v>0</v>
      </c>
      <c r="N35" s="5"/>
      <c r="O35" s="4"/>
      <c r="P35" s="4"/>
    </row>
    <row r="36" spans="1:16" ht="40.200000000000003" customHeight="1" x14ac:dyDescent="0.25">
      <c r="A36" s="3">
        <v>31</v>
      </c>
      <c r="B36" s="3"/>
      <c r="C36" s="4"/>
      <c r="D36" s="4"/>
      <c r="E36" s="4"/>
      <c r="F36" s="4"/>
      <c r="G36" s="4"/>
      <c r="H36" s="4"/>
      <c r="I36" s="4"/>
      <c r="J36" s="4"/>
      <c r="K36" s="4" t="str">
        <f t="shared" si="1"/>
        <v>This is Automatic, Don't Edit</v>
      </c>
      <c r="L36" s="4"/>
      <c r="M36" s="4">
        <f t="shared" si="2"/>
        <v>0</v>
      </c>
      <c r="N36" s="5"/>
      <c r="O36" s="4"/>
      <c r="P36" s="4"/>
    </row>
    <row r="37" spans="1:16" ht="40.200000000000003" customHeight="1" x14ac:dyDescent="0.25">
      <c r="A37" s="3">
        <v>32</v>
      </c>
      <c r="B37" s="3"/>
      <c r="C37" s="4"/>
      <c r="D37" s="4"/>
      <c r="E37" s="4"/>
      <c r="F37" s="4"/>
      <c r="G37" s="4"/>
      <c r="H37" s="4"/>
      <c r="I37" s="4"/>
      <c r="J37" s="4"/>
      <c r="K37" s="4" t="str">
        <f t="shared" si="1"/>
        <v>This is Automatic, Don't Edit</v>
      </c>
      <c r="L37" s="4"/>
      <c r="M37" s="4">
        <f t="shared" si="2"/>
        <v>0</v>
      </c>
      <c r="N37" s="5"/>
      <c r="O37" s="4"/>
      <c r="P37" s="4"/>
    </row>
    <row r="38" spans="1:16" ht="40.200000000000003" customHeight="1" x14ac:dyDescent="0.25">
      <c r="A38" s="3">
        <v>33</v>
      </c>
      <c r="B38" s="3"/>
      <c r="C38" s="4"/>
      <c r="D38" s="4"/>
      <c r="E38" s="4"/>
      <c r="F38" s="4"/>
      <c r="G38" s="4"/>
      <c r="H38" s="4"/>
      <c r="I38" s="4"/>
      <c r="J38" s="4"/>
      <c r="K38" s="4" t="str">
        <f t="shared" si="1"/>
        <v>This is Automatic, Don't Edit</v>
      </c>
      <c r="L38" s="4"/>
      <c r="M38" s="4">
        <f t="shared" si="2"/>
        <v>0</v>
      </c>
      <c r="N38" s="5"/>
      <c r="O38" s="4"/>
      <c r="P38" s="4"/>
    </row>
    <row r="39" spans="1:16" ht="22.2" x14ac:dyDescent="0.25">
      <c r="A39" s="31" t="s">
        <v>17</v>
      </c>
      <c r="B39" s="31"/>
      <c r="C39" s="31"/>
      <c r="D39" s="31"/>
      <c r="E39" s="31"/>
      <c r="F39" s="31"/>
      <c r="G39" s="31"/>
      <c r="H39" s="31"/>
      <c r="I39" s="31"/>
      <c r="J39" s="7"/>
      <c r="K39" s="8">
        <f>SUMIF(E6:E38,"AED",K6:K38)</f>
        <v>0</v>
      </c>
      <c r="L39" s="9"/>
      <c r="M39" s="10">
        <f>SUMIF(E6:E38,"AED",M6:M38)</f>
        <v>0</v>
      </c>
      <c r="N39" s="6"/>
      <c r="O39" s="4"/>
      <c r="P39" s="4"/>
    </row>
    <row r="40" spans="1:16" ht="22.2" x14ac:dyDescent="0.25">
      <c r="A40" s="31" t="s">
        <v>18</v>
      </c>
      <c r="B40" s="31"/>
      <c r="C40" s="31"/>
      <c r="D40" s="31"/>
      <c r="E40" s="31"/>
      <c r="F40" s="31"/>
      <c r="G40" s="31"/>
      <c r="H40" s="31"/>
      <c r="I40" s="31"/>
      <c r="J40" s="7"/>
      <c r="K40" s="8">
        <f>SUMIF(E6:E38,"USD",K6:K38)</f>
        <v>0</v>
      </c>
      <c r="L40" s="9"/>
      <c r="M40" s="11">
        <f>SUMIF(E6:E38,"USD",M6:M38)</f>
        <v>0</v>
      </c>
      <c r="N40" s="6"/>
      <c r="O40" s="4"/>
      <c r="P40" s="4"/>
    </row>
    <row r="41" spans="1:16" ht="22.2" x14ac:dyDescent="0.25">
      <c r="A41" s="31" t="s">
        <v>19</v>
      </c>
      <c r="B41" s="31"/>
      <c r="C41" s="31"/>
      <c r="D41" s="31"/>
      <c r="E41" s="31"/>
      <c r="F41" s="31"/>
      <c r="G41" s="31"/>
      <c r="H41" s="31"/>
      <c r="I41" s="31"/>
      <c r="J41" s="7"/>
      <c r="K41" s="8">
        <f>SUMIF(E6:E38,"PHP",K6:K38)</f>
        <v>0</v>
      </c>
      <c r="L41" s="9"/>
      <c r="M41" s="12">
        <f>SUMIF(E6:E38,"PHP",M6:M38)</f>
        <v>0</v>
      </c>
      <c r="N41" s="6"/>
      <c r="O41" s="4"/>
      <c r="P41" s="4"/>
    </row>
  </sheetData>
  <mergeCells count="11">
    <mergeCell ref="A1:N1"/>
    <mergeCell ref="A2:N2"/>
    <mergeCell ref="A3:C3"/>
    <mergeCell ref="E3:H3"/>
    <mergeCell ref="I3:N3"/>
    <mergeCell ref="A41:I41"/>
    <mergeCell ref="A4:B4"/>
    <mergeCell ref="E4:F4"/>
    <mergeCell ref="G4:I4"/>
    <mergeCell ref="A39:I39"/>
    <mergeCell ref="A40:I40"/>
  </mergeCells>
  <phoneticPr fontId="4" type="noConversion"/>
  <dataValidations count="2">
    <dataValidation type="list" allowBlank="1" showInputMessage="1" showErrorMessage="1" sqref="A1:N1" xr:uid="{00000000-0002-0000-0000-000002000000}">
      <formula1>"MYK,EMPIRE GOLD BY ETG"</formula1>
    </dataValidation>
    <dataValidation type="list" allowBlank="1" showInputMessage="1" showErrorMessage="1" sqref="I3:N3" xr:uid="{5E538449-EF47-4A9A-8EFC-97EB42D8B80B}">
      <formula1>"PAPS, ROSE, YHEN"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'DATA''S'!$C$2:$C$1048576</xm:f>
          </x14:formula1>
          <xm:sqref>E6:E38</xm:sqref>
        </x14:dataValidation>
        <x14:dataValidation type="list" allowBlank="1" showInputMessage="1" showErrorMessage="1" xr:uid="{DB95BA60-C118-4A67-8918-ADBD69DBFF25}">
          <x14:formula1>
            <xm:f>'DATA''S'!$A$2:$A$351</xm:f>
          </x14:formula1>
          <xm:sqref>D6:D38</xm:sqref>
        </x14:dataValidation>
        <x14:dataValidation type="list" allowBlank="1" showInputMessage="1" showErrorMessage="1" xr:uid="{70769C8E-D180-4406-85D1-603836B3338D}">
          <x14:formula1>
            <xm:f>'DATA''S'!$H$2:$H$121</xm:f>
          </x14:formula1>
          <xm:sqref>A2:N2</xm:sqref>
        </x14:dataValidation>
        <x14:dataValidation type="list" allowBlank="1" showInputMessage="1" showErrorMessage="1" xr:uid="{A14E65D6-6642-40D7-B49F-31FDBFECA6A9}">
          <x14:formula1>
            <xm:f>'DATA''S'!$E$2:$E$1048576</xm:f>
          </x14:formula1>
          <xm:sqref>D3 G6:G38</xm:sqref>
        </x14:dataValidation>
        <x14:dataValidation type="list" allowBlank="1" showInputMessage="1" showErrorMessage="1" xr:uid="{28432913-407D-473D-840B-D78CFD44A223}">
          <x14:formula1>
            <xm:f>'DATA''S'!$F$2:$F$1048576</xm:f>
          </x14:formula1>
          <xm:sqref>I6:I38</xm:sqref>
        </x14:dataValidation>
        <x14:dataValidation type="list" allowBlank="1" showInputMessage="1" showErrorMessage="1" xr:uid="{4A2A2F36-9E57-4DCD-8346-97BC44600C5C}">
          <x14:formula1>
            <xm:f>'DATA''S'!$D$2:$D$1048576</xm:f>
          </x14:formula1>
          <xm:sqref>F6:F38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E3DD-900B-4E0B-BA5C-A00DEC9902E4}">
  <dimension ref="A1:P39"/>
  <sheetViews>
    <sheetView zoomScale="56" zoomScaleNormal="37" workbookViewId="0">
      <selection activeCell="C5" sqref="C5"/>
    </sheetView>
  </sheetViews>
  <sheetFormatPr defaultColWidth="11" defaultRowHeight="15.6" x14ac:dyDescent="0.25"/>
  <cols>
    <col min="1" max="1" width="4.5" bestFit="1" customWidth="1"/>
    <col min="2" max="2" width="31.69921875" customWidth="1"/>
    <col min="3" max="3" width="35" customWidth="1"/>
    <col min="4" max="4" width="57.09765625" customWidth="1"/>
    <col min="5" max="5" width="14.09765625" bestFit="1" customWidth="1"/>
    <col min="6" max="6" width="13.69921875" customWidth="1"/>
    <col min="7" max="7" width="10.59765625" bestFit="1" customWidth="1"/>
    <col min="8" max="8" width="6.5" customWidth="1"/>
    <col min="9" max="9" width="10.3984375" style="2" customWidth="1"/>
    <col min="10" max="10" width="19" style="2" customWidth="1"/>
    <col min="11" max="11" width="26.296875" style="2" hidden="1" customWidth="1"/>
    <col min="12" max="12" width="24.59765625" bestFit="1" customWidth="1"/>
    <col min="13" max="13" width="28.09765625" bestFit="1" customWidth="1"/>
    <col min="14" max="14" width="43.8984375" customWidth="1"/>
    <col min="15" max="15" width="28.5" customWidth="1"/>
    <col min="16" max="16" width="32.59765625" customWidth="1"/>
  </cols>
  <sheetData>
    <row r="1" spans="1:16" ht="66.599999999999994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3"/>
      <c r="P1" s="13"/>
    </row>
    <row r="2" spans="1:16" ht="25.2" x14ac:dyDescent="0.25">
      <c r="A2" s="38" t="s">
        <v>27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14"/>
      <c r="P2" s="14"/>
    </row>
    <row r="3" spans="1:16" ht="25.2" x14ac:dyDescent="0.25">
      <c r="A3" s="38" t="s">
        <v>1</v>
      </c>
      <c r="B3" s="38"/>
      <c r="C3" s="38"/>
      <c r="D3" s="14" t="s">
        <v>25</v>
      </c>
      <c r="E3" s="38" t="s">
        <v>2</v>
      </c>
      <c r="F3" s="38"/>
      <c r="G3" s="38"/>
      <c r="H3" s="38"/>
      <c r="I3" s="38" t="s">
        <v>26</v>
      </c>
      <c r="J3" s="38"/>
      <c r="K3" s="38"/>
      <c r="L3" s="38"/>
      <c r="M3" s="38"/>
      <c r="N3" s="38"/>
      <c r="O3" s="14"/>
      <c r="P3" s="14"/>
    </row>
    <row r="4" spans="1:16" ht="25.2" x14ac:dyDescent="0.25">
      <c r="A4" s="32" t="s">
        <v>3</v>
      </c>
      <c r="B4" s="33"/>
      <c r="C4" s="23">
        <f ca="1">TODAY()</f>
        <v>46228</v>
      </c>
      <c r="D4" s="15" t="s">
        <v>22</v>
      </c>
      <c r="E4" s="34">
        <f>SUM(J6:J36)</f>
        <v>0</v>
      </c>
      <c r="F4" s="35"/>
      <c r="G4" s="34" t="s">
        <v>4</v>
      </c>
      <c r="H4" s="36"/>
      <c r="I4" s="35"/>
      <c r="J4" s="16"/>
      <c r="K4" s="17">
        <f>M37</f>
        <v>0</v>
      </c>
      <c r="L4" s="22">
        <f>M37</f>
        <v>0</v>
      </c>
      <c r="M4" s="18">
        <f>M39</f>
        <v>0</v>
      </c>
      <c r="N4" s="19" t="s">
        <v>21</v>
      </c>
      <c r="O4" s="19"/>
      <c r="P4" s="19"/>
    </row>
    <row r="5" spans="1:16" s="1" customFormat="1" ht="33.9" customHeight="1" x14ac:dyDescent="0.35">
      <c r="A5" s="20" t="s">
        <v>5</v>
      </c>
      <c r="B5" s="20" t="s">
        <v>29</v>
      </c>
      <c r="C5" s="20" t="s">
        <v>20</v>
      </c>
      <c r="D5" s="20" t="s">
        <v>23</v>
      </c>
      <c r="E5" s="20" t="s">
        <v>7</v>
      </c>
      <c r="F5" s="20" t="s">
        <v>8</v>
      </c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30</v>
      </c>
      <c r="P5" s="20" t="s">
        <v>31</v>
      </c>
    </row>
    <row r="6" spans="1:16" ht="43.8" customHeight="1" x14ac:dyDescent="0.25">
      <c r="A6" s="3">
        <v>1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>
        <f t="shared" ref="M6:M36" si="0">ROUND(J6*L6,0)</f>
        <v>0</v>
      </c>
      <c r="N6" s="26"/>
      <c r="O6" s="24"/>
      <c r="P6" s="5"/>
    </row>
    <row r="7" spans="1:16" ht="43.8" customHeight="1" x14ac:dyDescent="0.25">
      <c r="A7" s="3">
        <v>2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>
        <f t="shared" si="0"/>
        <v>0</v>
      </c>
      <c r="N7" s="26"/>
      <c r="O7" s="24"/>
      <c r="P7" s="5"/>
    </row>
    <row r="8" spans="1:16" ht="43.8" customHeight="1" x14ac:dyDescent="0.25">
      <c r="A8" s="3">
        <v>3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>
        <f t="shared" si="0"/>
        <v>0</v>
      </c>
      <c r="N8" s="26"/>
      <c r="O8" s="24"/>
      <c r="P8" s="5"/>
    </row>
    <row r="9" spans="1:16" ht="43.8" customHeight="1" x14ac:dyDescent="0.25">
      <c r="A9" s="3">
        <v>4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>
        <f t="shared" si="0"/>
        <v>0</v>
      </c>
      <c r="N9" s="26"/>
      <c r="O9" s="24"/>
      <c r="P9" s="5"/>
    </row>
    <row r="10" spans="1:16" ht="43.8" customHeight="1" x14ac:dyDescent="0.25">
      <c r="A10" s="3">
        <v>5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>
        <f t="shared" si="0"/>
        <v>0</v>
      </c>
      <c r="N10" s="26"/>
      <c r="O10" s="24"/>
      <c r="P10" s="5"/>
    </row>
    <row r="11" spans="1:16" ht="43.8" customHeight="1" x14ac:dyDescent="0.25">
      <c r="A11" s="3">
        <v>6</v>
      </c>
      <c r="B11" s="3"/>
      <c r="C11" s="29"/>
      <c r="D11" s="29"/>
      <c r="E11" s="29"/>
      <c r="F11" s="29"/>
      <c r="G11" s="4"/>
      <c r="H11" s="29"/>
      <c r="I11" s="29"/>
      <c r="J11" s="29"/>
      <c r="K11" s="29"/>
      <c r="L11" s="4"/>
      <c r="M11" s="29">
        <f t="shared" si="0"/>
        <v>0</v>
      </c>
      <c r="N11" s="30"/>
      <c r="O11" s="24"/>
      <c r="P11" s="5"/>
    </row>
    <row r="12" spans="1:16" ht="43.8" customHeight="1" x14ac:dyDescent="0.25">
      <c r="A12" s="3">
        <v>7</v>
      </c>
      <c r="B12" s="28"/>
      <c r="C12" s="29"/>
      <c r="D12" s="29"/>
      <c r="E12" s="29"/>
      <c r="F12" s="29"/>
      <c r="G12" s="4"/>
      <c r="H12" s="29"/>
      <c r="I12" s="29"/>
      <c r="J12" s="29"/>
      <c r="K12" s="29"/>
      <c r="L12" s="4"/>
      <c r="M12" s="29">
        <f t="shared" si="0"/>
        <v>0</v>
      </c>
      <c r="N12" s="30"/>
      <c r="O12" s="24"/>
      <c r="P12" s="5"/>
    </row>
    <row r="13" spans="1:16" ht="43.8" customHeight="1" x14ac:dyDescent="0.25">
      <c r="A13" s="3">
        <v>8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>
        <f t="shared" si="0"/>
        <v>0</v>
      </c>
      <c r="N13" s="26"/>
      <c r="O13" s="24"/>
      <c r="P13" s="5"/>
    </row>
    <row r="14" spans="1:16" ht="43.8" customHeight="1" x14ac:dyDescent="0.25">
      <c r="A14" s="3">
        <v>9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>
        <f t="shared" si="0"/>
        <v>0</v>
      </c>
      <c r="N14" s="26"/>
      <c r="O14" s="24"/>
      <c r="P14" s="5"/>
    </row>
    <row r="15" spans="1:16" ht="43.8" customHeight="1" x14ac:dyDescent="0.25">
      <c r="A15" s="3">
        <v>10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>
        <f t="shared" si="0"/>
        <v>0</v>
      </c>
      <c r="N15" s="26"/>
      <c r="O15" s="24"/>
      <c r="P15" s="5"/>
    </row>
    <row r="16" spans="1:16" ht="43.8" customHeight="1" x14ac:dyDescent="0.25">
      <c r="A16" s="3">
        <v>11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>
        <f t="shared" si="0"/>
        <v>0</v>
      </c>
      <c r="N16" s="26"/>
      <c r="O16" s="24"/>
      <c r="P16" s="5"/>
    </row>
    <row r="17" spans="1:16" ht="43.8" customHeight="1" x14ac:dyDescent="0.25">
      <c r="A17" s="3">
        <v>12</v>
      </c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>
        <f t="shared" si="0"/>
        <v>0</v>
      </c>
      <c r="N17" s="26"/>
      <c r="O17" s="24"/>
      <c r="P17" s="5"/>
    </row>
    <row r="18" spans="1:16" ht="43.8" customHeight="1" x14ac:dyDescent="0.25">
      <c r="A18" s="3">
        <v>13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>
        <f t="shared" si="0"/>
        <v>0</v>
      </c>
      <c r="N18" s="26"/>
      <c r="O18" s="24"/>
      <c r="P18" s="5"/>
    </row>
    <row r="19" spans="1:16" ht="43.8" customHeight="1" x14ac:dyDescent="0.25">
      <c r="A19" s="3">
        <v>14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>
        <f t="shared" si="0"/>
        <v>0</v>
      </c>
      <c r="N19" s="26"/>
      <c r="O19" s="24"/>
      <c r="P19" s="5"/>
    </row>
    <row r="20" spans="1:16" ht="43.8" customHeight="1" x14ac:dyDescent="0.25">
      <c r="A20" s="3">
        <v>15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>
        <f t="shared" si="0"/>
        <v>0</v>
      </c>
      <c r="N20" s="26"/>
      <c r="O20" s="24"/>
      <c r="P20" s="5"/>
    </row>
    <row r="21" spans="1:16" ht="43.8" customHeight="1" x14ac:dyDescent="0.25">
      <c r="A21" s="3">
        <v>16</v>
      </c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>
        <f t="shared" si="0"/>
        <v>0</v>
      </c>
      <c r="N21" s="26"/>
      <c r="O21" s="24"/>
      <c r="P21" s="5"/>
    </row>
    <row r="22" spans="1:16" ht="43.8" customHeight="1" x14ac:dyDescent="0.25">
      <c r="A22" s="3">
        <v>17</v>
      </c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>
        <f t="shared" si="0"/>
        <v>0</v>
      </c>
      <c r="N22" s="26"/>
      <c r="O22" s="24"/>
      <c r="P22" s="5"/>
    </row>
    <row r="23" spans="1:16" ht="43.8" customHeight="1" x14ac:dyDescent="0.25">
      <c r="A23" s="3">
        <v>18</v>
      </c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>
        <f t="shared" si="0"/>
        <v>0</v>
      </c>
      <c r="N23" s="26"/>
      <c r="O23" s="24"/>
      <c r="P23" s="5"/>
    </row>
    <row r="24" spans="1:16" ht="43.8" customHeight="1" x14ac:dyDescent="0.25">
      <c r="A24" s="3">
        <v>19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>
        <f t="shared" si="0"/>
        <v>0</v>
      </c>
      <c r="N24" s="26"/>
      <c r="O24" s="24"/>
      <c r="P24" s="5"/>
    </row>
    <row r="25" spans="1:16" ht="43.8" customHeight="1" x14ac:dyDescent="0.25">
      <c r="A25" s="3">
        <v>20</v>
      </c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>
        <f t="shared" si="0"/>
        <v>0</v>
      </c>
      <c r="N25" s="26"/>
      <c r="O25" s="24"/>
      <c r="P25" s="5"/>
    </row>
    <row r="26" spans="1:16" ht="43.8" customHeight="1" x14ac:dyDescent="0.25">
      <c r="A26" s="3">
        <v>21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>
        <f t="shared" si="0"/>
        <v>0</v>
      </c>
      <c r="N26" s="26"/>
      <c r="O26" s="24"/>
      <c r="P26" s="5"/>
    </row>
    <row r="27" spans="1:16" ht="43.8" customHeight="1" x14ac:dyDescent="0.25">
      <c r="A27" s="3">
        <v>22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>
        <f t="shared" si="0"/>
        <v>0</v>
      </c>
      <c r="N27" s="26"/>
      <c r="O27" s="24"/>
      <c r="P27" s="5"/>
    </row>
    <row r="28" spans="1:16" ht="43.8" customHeight="1" x14ac:dyDescent="0.25">
      <c r="A28" s="3">
        <v>23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>
        <f t="shared" si="0"/>
        <v>0</v>
      </c>
      <c r="N28" s="25"/>
      <c r="O28" s="24"/>
      <c r="P28" s="5"/>
    </row>
    <row r="29" spans="1:16" ht="43.8" customHeight="1" x14ac:dyDescent="0.25">
      <c r="A29" s="3">
        <v>24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>
        <f t="shared" si="0"/>
        <v>0</v>
      </c>
      <c r="N29" s="25"/>
      <c r="O29" s="24"/>
      <c r="P29" s="5"/>
    </row>
    <row r="30" spans="1:16" ht="43.8" customHeight="1" x14ac:dyDescent="0.25">
      <c r="A30" s="3">
        <v>25</v>
      </c>
      <c r="B30" s="3"/>
      <c r="C30" s="4"/>
      <c r="D30" s="4"/>
      <c r="E30" s="4"/>
      <c r="F30" s="4"/>
      <c r="G30" s="4"/>
      <c r="H30" s="4"/>
      <c r="I30" s="4"/>
      <c r="J30" s="4"/>
      <c r="K30" s="4" t="str">
        <f t="shared" ref="K30:K36" si="1">IF(J30&gt;0,J30-0.05,"This is Automatic, Don't Edit")</f>
        <v>This is Automatic, Don't Edit</v>
      </c>
      <c r="L30" s="4"/>
      <c r="M30" s="4">
        <f t="shared" si="0"/>
        <v>0</v>
      </c>
      <c r="N30" s="25"/>
      <c r="O30" s="24"/>
      <c r="P30" s="5"/>
    </row>
    <row r="31" spans="1:16" ht="43.8" customHeight="1" x14ac:dyDescent="0.25">
      <c r="A31" s="3">
        <v>26</v>
      </c>
      <c r="B31" s="3"/>
      <c r="C31" s="4"/>
      <c r="D31" s="4"/>
      <c r="E31" s="4"/>
      <c r="F31" s="4"/>
      <c r="G31" s="4"/>
      <c r="H31" s="4"/>
      <c r="I31" s="4"/>
      <c r="J31" s="4"/>
      <c r="K31" s="4" t="str">
        <f t="shared" si="1"/>
        <v>This is Automatic, Don't Edit</v>
      </c>
      <c r="L31" s="4"/>
      <c r="M31" s="4">
        <f t="shared" si="0"/>
        <v>0</v>
      </c>
      <c r="N31" s="25"/>
      <c r="O31" s="24"/>
      <c r="P31" s="5"/>
    </row>
    <row r="32" spans="1:16" ht="43.8" customHeight="1" x14ac:dyDescent="0.25">
      <c r="A32" s="3">
        <v>27</v>
      </c>
      <c r="B32" s="3"/>
      <c r="C32" s="4"/>
      <c r="D32" s="4"/>
      <c r="E32" s="4"/>
      <c r="F32" s="4"/>
      <c r="G32" s="4"/>
      <c r="H32" s="4"/>
      <c r="I32" s="4"/>
      <c r="J32" s="4"/>
      <c r="K32" s="4" t="str">
        <f t="shared" si="1"/>
        <v>This is Automatic, Don't Edit</v>
      </c>
      <c r="L32" s="4"/>
      <c r="M32" s="4">
        <f t="shared" si="0"/>
        <v>0</v>
      </c>
      <c r="N32" s="25"/>
      <c r="O32" s="24"/>
      <c r="P32" s="5"/>
    </row>
    <row r="33" spans="1:16" ht="43.8" customHeight="1" x14ac:dyDescent="0.25">
      <c r="A33" s="3">
        <v>28</v>
      </c>
      <c r="B33" s="3"/>
      <c r="C33" s="4"/>
      <c r="D33" s="4"/>
      <c r="E33" s="4"/>
      <c r="F33" s="4"/>
      <c r="G33" s="4"/>
      <c r="H33" s="4"/>
      <c r="I33" s="4"/>
      <c r="J33" s="4"/>
      <c r="K33" s="4" t="str">
        <f t="shared" si="1"/>
        <v>This is Automatic, Don't Edit</v>
      </c>
      <c r="L33" s="4"/>
      <c r="M33" s="4">
        <f t="shared" si="0"/>
        <v>0</v>
      </c>
      <c r="N33" s="25"/>
      <c r="O33" s="24"/>
      <c r="P33" s="5"/>
    </row>
    <row r="34" spans="1:16" ht="43.8" customHeight="1" x14ac:dyDescent="0.25">
      <c r="A34" s="3">
        <v>29</v>
      </c>
      <c r="B34" s="3"/>
      <c r="C34" s="4"/>
      <c r="D34" s="4"/>
      <c r="E34" s="4"/>
      <c r="F34" s="4"/>
      <c r="G34" s="4"/>
      <c r="H34" s="4"/>
      <c r="I34" s="4"/>
      <c r="J34" s="4"/>
      <c r="K34" s="4" t="str">
        <f t="shared" si="1"/>
        <v>This is Automatic, Don't Edit</v>
      </c>
      <c r="L34" s="4"/>
      <c r="M34" s="4">
        <f t="shared" si="0"/>
        <v>0</v>
      </c>
      <c r="N34" s="5"/>
      <c r="O34" s="24"/>
      <c r="P34" s="5"/>
    </row>
    <row r="35" spans="1:16" ht="43.8" customHeight="1" x14ac:dyDescent="0.25">
      <c r="A35" s="3">
        <v>30</v>
      </c>
      <c r="B35" s="3"/>
      <c r="C35" s="4"/>
      <c r="D35" s="4"/>
      <c r="E35" s="4"/>
      <c r="F35" s="4"/>
      <c r="G35" s="4"/>
      <c r="H35" s="4"/>
      <c r="I35" s="4"/>
      <c r="J35" s="4"/>
      <c r="K35" s="4" t="str">
        <f t="shared" si="1"/>
        <v>This is Automatic, Don't Edit</v>
      </c>
      <c r="L35" s="4"/>
      <c r="M35" s="4">
        <f t="shared" si="0"/>
        <v>0</v>
      </c>
      <c r="N35" s="5"/>
      <c r="O35" s="24"/>
      <c r="P35" s="5"/>
    </row>
    <row r="36" spans="1:16" ht="43.8" customHeight="1" x14ac:dyDescent="0.25">
      <c r="A36" s="3">
        <v>31</v>
      </c>
      <c r="B36" s="3"/>
      <c r="C36" s="4"/>
      <c r="D36" s="4"/>
      <c r="E36" s="4"/>
      <c r="F36" s="4"/>
      <c r="G36" s="4"/>
      <c r="H36" s="4"/>
      <c r="I36" s="4"/>
      <c r="J36" s="4"/>
      <c r="K36" s="4" t="str">
        <f t="shared" si="1"/>
        <v>This is Automatic, Don't Edit</v>
      </c>
      <c r="L36" s="4"/>
      <c r="M36" s="4">
        <f t="shared" si="0"/>
        <v>0</v>
      </c>
      <c r="N36" s="5"/>
      <c r="O36" s="24"/>
      <c r="P36" s="5"/>
    </row>
    <row r="37" spans="1:16" ht="22.2" x14ac:dyDescent="0.25">
      <c r="A37" s="31" t="s">
        <v>17</v>
      </c>
      <c r="B37" s="31"/>
      <c r="C37" s="31"/>
      <c r="D37" s="31"/>
      <c r="E37" s="31"/>
      <c r="F37" s="31"/>
      <c r="G37" s="31"/>
      <c r="H37" s="31"/>
      <c r="I37" s="31"/>
      <c r="J37" s="7"/>
      <c r="K37" s="8">
        <f>SUMIF(E6:E36,"AED",K6:K36)</f>
        <v>0</v>
      </c>
      <c r="L37" s="9"/>
      <c r="M37" s="10">
        <f>SUMIF(E6:E36,"AED",M6:M36)</f>
        <v>0</v>
      </c>
      <c r="N37" s="6"/>
      <c r="O37" s="5"/>
      <c r="P37" s="5"/>
    </row>
    <row r="38" spans="1:16" ht="22.2" x14ac:dyDescent="0.25">
      <c r="A38" s="31" t="s">
        <v>18</v>
      </c>
      <c r="B38" s="31"/>
      <c r="C38" s="31"/>
      <c r="D38" s="31"/>
      <c r="E38" s="31"/>
      <c r="F38" s="31"/>
      <c r="G38" s="31"/>
      <c r="H38" s="31"/>
      <c r="I38" s="31"/>
      <c r="J38" s="7"/>
      <c r="K38" s="8">
        <f>SUMIF(E6:E36,"USD",K6:K36)</f>
        <v>0</v>
      </c>
      <c r="L38" s="9"/>
      <c r="M38" s="11">
        <f>SUMIF(E6:E36,"USD",M6:M36)</f>
        <v>0</v>
      </c>
      <c r="N38" s="6"/>
      <c r="O38" s="5"/>
      <c r="P38" s="5"/>
    </row>
    <row r="39" spans="1:16" ht="22.2" x14ac:dyDescent="0.25">
      <c r="A39" s="31" t="s">
        <v>19</v>
      </c>
      <c r="B39" s="31"/>
      <c r="C39" s="31"/>
      <c r="D39" s="31"/>
      <c r="E39" s="31"/>
      <c r="F39" s="31"/>
      <c r="G39" s="31"/>
      <c r="H39" s="31"/>
      <c r="I39" s="31"/>
      <c r="J39" s="7"/>
      <c r="K39" s="8">
        <f>SUMIF(E6:E36,"PHP",K6:K36)</f>
        <v>0</v>
      </c>
      <c r="L39" s="9"/>
      <c r="M39" s="12">
        <f>SUMIF(E6:E36,"PHP",M6:M36)</f>
        <v>0</v>
      </c>
      <c r="N39" s="6"/>
      <c r="O39" s="5"/>
      <c r="P39" s="5"/>
    </row>
  </sheetData>
  <mergeCells count="11">
    <mergeCell ref="A37:I37"/>
    <mergeCell ref="A38:I38"/>
    <mergeCell ref="A39:I39"/>
    <mergeCell ref="A1:N1"/>
    <mergeCell ref="A2:N2"/>
    <mergeCell ref="A3:C3"/>
    <mergeCell ref="E3:H3"/>
    <mergeCell ref="I3:N3"/>
    <mergeCell ref="A4:B4"/>
    <mergeCell ref="E4:F4"/>
    <mergeCell ref="G4:I4"/>
  </mergeCells>
  <phoneticPr fontId="13" type="noConversion"/>
  <dataValidations count="3">
    <dataValidation type="list" allowBlank="1" showInputMessage="1" showErrorMessage="1" sqref="I3:N3" xr:uid="{C5D9C4FA-F96F-4788-BD83-5FD80276A4BA}">
      <formula1>"PAPS, ROSE, YHEN"</formula1>
    </dataValidation>
    <dataValidation type="list" allowBlank="1" showInputMessage="1" showErrorMessage="1" sqref="A1:N1" xr:uid="{5920B2A3-19B4-4610-BD25-3F143D650346}">
      <formula1>"MYK,EMPIRE GOLD BY ETG"</formula1>
    </dataValidation>
    <dataValidation type="list" allowBlank="1" showInputMessage="1" showErrorMessage="1" sqref="O6:P39" xr:uid="{A192544F-0C7B-4CF9-8F70-17606D2953C8}">
      <formula1>"Pending, Chased, Completed, Skipped"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3C49539-55FD-46E9-9F55-A34310100994}">
          <x14:formula1>
            <xm:f>'DATA''S'!$H$2:$H$121</xm:f>
          </x14:formula1>
          <xm:sqref>A2:N2</xm:sqref>
        </x14:dataValidation>
        <x14:dataValidation type="list" allowBlank="1" showInputMessage="1" showErrorMessage="1" xr:uid="{5DD3D52D-5B71-48AC-8304-59EABCB9A11C}">
          <x14:formula1>
            <xm:f>'DATA''S'!$E$2:$E$1048576</xm:f>
          </x14:formula1>
          <xm:sqref>D3 G6:G36</xm:sqref>
        </x14:dataValidation>
        <x14:dataValidation type="list" allowBlank="1" showInputMessage="1" showErrorMessage="1" xr:uid="{467CF231-33E2-44B2-B9DA-12F882133EC6}">
          <x14:formula1>
            <xm:f>'DATA''S'!$F$2:$F$1048576</xm:f>
          </x14:formula1>
          <xm:sqref>I6:I36</xm:sqref>
        </x14:dataValidation>
        <x14:dataValidation type="list" allowBlank="1" showInputMessage="1" showErrorMessage="1" xr:uid="{FF3E36B3-6BF0-4DF1-B5FA-5ADDF3C8DDDB}">
          <x14:formula1>
            <xm:f>'DATA''S'!$D$2:$D$1048576</xm:f>
          </x14:formula1>
          <xm:sqref>F6:F36</xm:sqref>
        </x14:dataValidation>
        <x14:dataValidation type="list" allowBlank="1" showInputMessage="1" showErrorMessage="1" xr:uid="{B3448FE1-2B67-46C2-B699-5ED80C6DD80A}">
          <x14:formula1>
            <xm:f>'DATA''S'!$C$2:$C$1048576</xm:f>
          </x14:formula1>
          <xm:sqref>E6:E36</xm:sqref>
        </x14:dataValidation>
        <x14:dataValidation type="list" allowBlank="1" showInputMessage="1" showErrorMessage="1" xr:uid="{825EBDFE-0504-4CFB-8F6B-AEFA4F4D4BC1}">
          <x14:formula1>
            <xm:f>'DATA''S'!$A$2:$A$351</xm:f>
          </x14:formula1>
          <xm:sqref>D6:D36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FFC20-0BA4-410E-8A8E-1F1D8E108319}">
  <dimension ref="A1:P39"/>
  <sheetViews>
    <sheetView zoomScale="56" zoomScaleNormal="37" workbookViewId="0">
      <selection activeCell="C5" sqref="C5"/>
    </sheetView>
  </sheetViews>
  <sheetFormatPr defaultColWidth="11" defaultRowHeight="15.6" x14ac:dyDescent="0.25"/>
  <cols>
    <col min="1" max="1" width="4.5" bestFit="1" customWidth="1"/>
    <col min="2" max="2" width="29.09765625" customWidth="1"/>
    <col min="3" max="3" width="32.19921875" customWidth="1"/>
    <col min="4" max="4" width="49.3984375" customWidth="1"/>
    <col min="5" max="5" width="14.09765625" bestFit="1" customWidth="1"/>
    <col min="6" max="6" width="13.69921875" customWidth="1"/>
    <col min="7" max="7" width="10.59765625" bestFit="1" customWidth="1"/>
    <col min="8" max="8" width="6.5" customWidth="1"/>
    <col min="9" max="9" width="10.3984375" style="2" customWidth="1"/>
    <col min="10" max="10" width="19" style="2" customWidth="1"/>
    <col min="11" max="11" width="26.296875" style="2" hidden="1" customWidth="1"/>
    <col min="12" max="12" width="24.59765625" bestFit="1" customWidth="1"/>
    <col min="13" max="13" width="28.09765625" bestFit="1" customWidth="1"/>
    <col min="14" max="14" width="43.8984375" customWidth="1"/>
    <col min="15" max="15" width="28.5" customWidth="1"/>
    <col min="16" max="16" width="32.59765625" customWidth="1"/>
  </cols>
  <sheetData>
    <row r="1" spans="1:16" ht="66.599999999999994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3"/>
      <c r="P1" s="13"/>
    </row>
    <row r="2" spans="1:16" ht="25.2" x14ac:dyDescent="0.25">
      <c r="A2" s="38" t="s">
        <v>28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14"/>
      <c r="P2" s="14"/>
    </row>
    <row r="3" spans="1:16" ht="25.2" x14ac:dyDescent="0.25">
      <c r="A3" s="38" t="s">
        <v>1</v>
      </c>
      <c r="B3" s="38"/>
      <c r="C3" s="38"/>
      <c r="D3" s="14" t="s">
        <v>25</v>
      </c>
      <c r="E3" s="38" t="s">
        <v>2</v>
      </c>
      <c r="F3" s="38"/>
      <c r="G3" s="38"/>
      <c r="H3" s="38"/>
      <c r="I3" s="38" t="s">
        <v>26</v>
      </c>
      <c r="J3" s="38"/>
      <c r="K3" s="38"/>
      <c r="L3" s="38"/>
      <c r="M3" s="38"/>
      <c r="N3" s="38"/>
      <c r="O3" s="14"/>
      <c r="P3" s="14"/>
    </row>
    <row r="4" spans="1:16" ht="25.2" x14ac:dyDescent="0.25">
      <c r="A4" s="32" t="s">
        <v>3</v>
      </c>
      <c r="B4" s="33"/>
      <c r="C4" s="23">
        <f ca="1">TODAY()</f>
        <v>46228</v>
      </c>
      <c r="D4" s="15" t="s">
        <v>22</v>
      </c>
      <c r="E4" s="34">
        <f>SUM(J6:J36)</f>
        <v>0</v>
      </c>
      <c r="F4" s="35"/>
      <c r="G4" s="34" t="s">
        <v>4</v>
      </c>
      <c r="H4" s="36"/>
      <c r="I4" s="35"/>
      <c r="J4" s="16"/>
      <c r="K4" s="17">
        <f>M37</f>
        <v>0</v>
      </c>
      <c r="L4" s="22">
        <f>M37</f>
        <v>0</v>
      </c>
      <c r="M4" s="18">
        <f>M39</f>
        <v>0</v>
      </c>
      <c r="N4" s="19" t="s">
        <v>21</v>
      </c>
      <c r="O4" s="19"/>
      <c r="P4" s="19"/>
    </row>
    <row r="5" spans="1:16" s="1" customFormat="1" ht="33.9" customHeight="1" x14ac:dyDescent="0.35">
      <c r="A5" s="20" t="s">
        <v>5</v>
      </c>
      <c r="B5" s="20" t="s">
        <v>29</v>
      </c>
      <c r="C5" s="20" t="s">
        <v>20</v>
      </c>
      <c r="D5" s="20" t="s">
        <v>23</v>
      </c>
      <c r="E5" s="20" t="s">
        <v>7</v>
      </c>
      <c r="F5" s="20" t="s">
        <v>8</v>
      </c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30</v>
      </c>
      <c r="P5" s="20" t="s">
        <v>31</v>
      </c>
    </row>
    <row r="6" spans="1:16" ht="43.2" customHeight="1" x14ac:dyDescent="0.25">
      <c r="A6" s="3">
        <v>1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>
        <f t="shared" ref="M6:M36" si="0">ROUND(J6*L6,0)</f>
        <v>0</v>
      </c>
      <c r="N6" s="5"/>
      <c r="O6" s="5"/>
      <c r="P6" s="5"/>
    </row>
    <row r="7" spans="1:16" ht="43.2" customHeight="1" x14ac:dyDescent="0.25">
      <c r="A7" s="3">
        <v>2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>
        <f t="shared" si="0"/>
        <v>0</v>
      </c>
      <c r="N7" s="5"/>
      <c r="O7" s="5"/>
      <c r="P7" s="5"/>
    </row>
    <row r="8" spans="1:16" ht="43.2" customHeight="1" x14ac:dyDescent="0.25">
      <c r="A8" s="3">
        <v>3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>
        <f t="shared" si="0"/>
        <v>0</v>
      </c>
      <c r="N8" s="5"/>
      <c r="O8" s="5"/>
      <c r="P8" s="5"/>
    </row>
    <row r="9" spans="1:16" ht="43.2" customHeight="1" x14ac:dyDescent="0.25">
      <c r="A9" s="3">
        <v>4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>
        <f t="shared" si="0"/>
        <v>0</v>
      </c>
      <c r="N9" s="5"/>
      <c r="O9" s="5"/>
      <c r="P9" s="5"/>
    </row>
    <row r="10" spans="1:16" ht="43.2" customHeight="1" x14ac:dyDescent="0.25">
      <c r="A10" s="3">
        <v>5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>
        <f t="shared" si="0"/>
        <v>0</v>
      </c>
      <c r="N10" s="5"/>
      <c r="O10" s="5"/>
      <c r="P10" s="5"/>
    </row>
    <row r="11" spans="1:16" ht="43.2" customHeight="1" x14ac:dyDescent="0.25">
      <c r="A11" s="3">
        <v>6</v>
      </c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>
        <f t="shared" si="0"/>
        <v>0</v>
      </c>
      <c r="N11" s="5"/>
      <c r="O11" s="5"/>
      <c r="P11" s="5"/>
    </row>
    <row r="12" spans="1:16" ht="43.2" customHeight="1" x14ac:dyDescent="0.25">
      <c r="A12" s="3">
        <v>7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>
        <f t="shared" si="0"/>
        <v>0</v>
      </c>
      <c r="N12" s="5"/>
      <c r="O12" s="5"/>
      <c r="P12" s="5"/>
    </row>
    <row r="13" spans="1:16" ht="43.2" customHeight="1" x14ac:dyDescent="0.25">
      <c r="A13" s="3">
        <v>8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>
        <f t="shared" si="0"/>
        <v>0</v>
      </c>
      <c r="N13" s="5"/>
      <c r="O13" s="5"/>
      <c r="P13" s="5"/>
    </row>
    <row r="14" spans="1:16" ht="43.2" customHeight="1" x14ac:dyDescent="0.25">
      <c r="A14" s="3">
        <v>9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>
        <f t="shared" si="0"/>
        <v>0</v>
      </c>
      <c r="N14" s="5"/>
      <c r="O14" s="5"/>
      <c r="P14" s="5"/>
    </row>
    <row r="15" spans="1:16" ht="43.2" customHeight="1" x14ac:dyDescent="0.25">
      <c r="A15" s="3">
        <v>10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>
        <f t="shared" si="0"/>
        <v>0</v>
      </c>
      <c r="N15" s="5"/>
      <c r="O15" s="5"/>
      <c r="P15" s="5"/>
    </row>
    <row r="16" spans="1:16" ht="43.2" customHeight="1" x14ac:dyDescent="0.25">
      <c r="A16" s="3">
        <v>11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>
        <f t="shared" si="0"/>
        <v>0</v>
      </c>
      <c r="N16" s="5"/>
      <c r="O16" s="5"/>
      <c r="P16" s="5"/>
    </row>
    <row r="17" spans="1:16" ht="43.2" customHeight="1" x14ac:dyDescent="0.25">
      <c r="A17" s="3">
        <v>12</v>
      </c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>
        <f t="shared" si="0"/>
        <v>0</v>
      </c>
      <c r="N17" s="5"/>
      <c r="O17" s="5"/>
      <c r="P17" s="5"/>
    </row>
    <row r="18" spans="1:16" ht="43.2" customHeight="1" x14ac:dyDescent="0.25">
      <c r="A18" s="3">
        <v>13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>
        <f t="shared" si="0"/>
        <v>0</v>
      </c>
      <c r="N18" s="5"/>
      <c r="O18" s="5"/>
      <c r="P18" s="5"/>
    </row>
    <row r="19" spans="1:16" ht="43.2" customHeight="1" x14ac:dyDescent="0.25">
      <c r="A19" s="3">
        <v>14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>
        <f t="shared" si="0"/>
        <v>0</v>
      </c>
      <c r="N19" s="5"/>
      <c r="O19" s="5"/>
      <c r="P19" s="5"/>
    </row>
    <row r="20" spans="1:16" ht="43.2" customHeight="1" x14ac:dyDescent="0.25">
      <c r="A20" s="3">
        <v>15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>
        <f t="shared" si="0"/>
        <v>0</v>
      </c>
      <c r="N20" s="5"/>
      <c r="O20" s="5"/>
      <c r="P20" s="5"/>
    </row>
    <row r="21" spans="1:16" ht="43.2" customHeight="1" x14ac:dyDescent="0.25">
      <c r="A21" s="3">
        <v>16</v>
      </c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>
        <f t="shared" si="0"/>
        <v>0</v>
      </c>
      <c r="N21" s="5"/>
      <c r="O21" s="5"/>
      <c r="P21" s="5"/>
    </row>
    <row r="22" spans="1:16" ht="43.2" customHeight="1" x14ac:dyDescent="0.25">
      <c r="A22" s="3">
        <v>17</v>
      </c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>
        <f t="shared" si="0"/>
        <v>0</v>
      </c>
      <c r="N22" s="5"/>
      <c r="O22" s="5"/>
      <c r="P22" s="5"/>
    </row>
    <row r="23" spans="1:16" ht="43.2" customHeight="1" x14ac:dyDescent="0.25">
      <c r="A23" s="3">
        <v>18</v>
      </c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>
        <f t="shared" si="0"/>
        <v>0</v>
      </c>
      <c r="N23" s="5"/>
      <c r="O23" s="5"/>
      <c r="P23" s="5"/>
    </row>
    <row r="24" spans="1:16" ht="43.2" customHeight="1" x14ac:dyDescent="0.25">
      <c r="A24" s="3">
        <v>19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>
        <f t="shared" si="0"/>
        <v>0</v>
      </c>
      <c r="N24" s="5"/>
      <c r="O24" s="5"/>
      <c r="P24" s="5"/>
    </row>
    <row r="25" spans="1:16" ht="43.2" customHeight="1" x14ac:dyDescent="0.25">
      <c r="A25" s="3">
        <v>20</v>
      </c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>
        <f t="shared" si="0"/>
        <v>0</v>
      </c>
      <c r="N25" s="5"/>
      <c r="O25" s="5"/>
      <c r="P25" s="5"/>
    </row>
    <row r="26" spans="1:16" ht="43.2" customHeight="1" x14ac:dyDescent="0.25">
      <c r="A26" s="3">
        <v>21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>
        <f t="shared" si="0"/>
        <v>0</v>
      </c>
      <c r="N26" s="5"/>
      <c r="O26" s="5"/>
      <c r="P26" s="5"/>
    </row>
    <row r="27" spans="1:16" ht="43.2" customHeight="1" x14ac:dyDescent="0.25">
      <c r="A27" s="3">
        <v>22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>
        <f t="shared" si="0"/>
        <v>0</v>
      </c>
      <c r="N27" s="5"/>
      <c r="O27" s="5"/>
      <c r="P27" s="5"/>
    </row>
    <row r="28" spans="1:16" ht="43.2" customHeight="1" x14ac:dyDescent="0.25">
      <c r="A28" s="3">
        <v>23</v>
      </c>
      <c r="B28" s="3"/>
      <c r="C28" s="4"/>
      <c r="D28" s="4"/>
      <c r="E28" s="4"/>
      <c r="F28" s="4"/>
      <c r="G28" s="4"/>
      <c r="H28" s="4"/>
      <c r="I28" s="4"/>
      <c r="J28" s="4"/>
      <c r="K28" s="4" t="str">
        <f t="shared" ref="K28:K36" si="1">IF(J28&gt;0,J28-0.05,"This is Automatic, Don't Edit")</f>
        <v>This is Automatic, Don't Edit</v>
      </c>
      <c r="L28" s="4"/>
      <c r="M28" s="4">
        <f t="shared" si="0"/>
        <v>0</v>
      </c>
      <c r="N28" s="5"/>
      <c r="O28" s="5"/>
      <c r="P28" s="5"/>
    </row>
    <row r="29" spans="1:16" ht="43.2" customHeight="1" x14ac:dyDescent="0.25">
      <c r="A29" s="3">
        <v>24</v>
      </c>
      <c r="B29" s="3"/>
      <c r="C29" s="4"/>
      <c r="D29" s="4"/>
      <c r="E29" s="4"/>
      <c r="F29" s="4"/>
      <c r="G29" s="4"/>
      <c r="H29" s="4"/>
      <c r="I29" s="4"/>
      <c r="J29" s="4"/>
      <c r="K29" s="4" t="str">
        <f t="shared" si="1"/>
        <v>This is Automatic, Don't Edit</v>
      </c>
      <c r="L29" s="4"/>
      <c r="M29" s="4">
        <f t="shared" si="0"/>
        <v>0</v>
      </c>
      <c r="N29" s="5"/>
      <c r="O29" s="5"/>
      <c r="P29" s="5"/>
    </row>
    <row r="30" spans="1:16" ht="43.2" customHeight="1" x14ac:dyDescent="0.25">
      <c r="A30" s="3">
        <v>25</v>
      </c>
      <c r="B30" s="3"/>
      <c r="C30" s="4"/>
      <c r="D30" s="4"/>
      <c r="E30" s="4"/>
      <c r="F30" s="4"/>
      <c r="G30" s="4"/>
      <c r="H30" s="4"/>
      <c r="I30" s="4"/>
      <c r="J30" s="4"/>
      <c r="K30" s="4" t="str">
        <f t="shared" si="1"/>
        <v>This is Automatic, Don't Edit</v>
      </c>
      <c r="L30" s="4"/>
      <c r="M30" s="4">
        <f t="shared" si="0"/>
        <v>0</v>
      </c>
      <c r="N30" s="5"/>
      <c r="O30" s="5"/>
      <c r="P30" s="5"/>
    </row>
    <row r="31" spans="1:16" ht="43.2" customHeight="1" x14ac:dyDescent="0.25">
      <c r="A31" s="3">
        <v>26</v>
      </c>
      <c r="B31" s="3"/>
      <c r="C31" s="4"/>
      <c r="D31" s="4"/>
      <c r="E31" s="4"/>
      <c r="F31" s="4"/>
      <c r="G31" s="4"/>
      <c r="H31" s="4"/>
      <c r="I31" s="4"/>
      <c r="J31" s="4"/>
      <c r="K31" s="4" t="str">
        <f t="shared" si="1"/>
        <v>This is Automatic, Don't Edit</v>
      </c>
      <c r="L31" s="4"/>
      <c r="M31" s="4">
        <f t="shared" si="0"/>
        <v>0</v>
      </c>
      <c r="N31" s="5"/>
      <c r="O31" s="5"/>
      <c r="P31" s="5"/>
    </row>
    <row r="32" spans="1:16" ht="43.2" customHeight="1" x14ac:dyDescent="0.25">
      <c r="A32" s="3">
        <v>27</v>
      </c>
      <c r="B32" s="3"/>
      <c r="C32" s="4"/>
      <c r="D32" s="4"/>
      <c r="E32" s="4"/>
      <c r="F32" s="4"/>
      <c r="G32" s="4"/>
      <c r="H32" s="4"/>
      <c r="I32" s="4"/>
      <c r="J32" s="4"/>
      <c r="K32" s="4" t="str">
        <f t="shared" si="1"/>
        <v>This is Automatic, Don't Edit</v>
      </c>
      <c r="L32" s="4"/>
      <c r="M32" s="4">
        <f t="shared" si="0"/>
        <v>0</v>
      </c>
      <c r="N32" s="5"/>
      <c r="O32" s="5"/>
      <c r="P32" s="5"/>
    </row>
    <row r="33" spans="1:16" ht="43.2" customHeight="1" x14ac:dyDescent="0.25">
      <c r="A33" s="3">
        <v>28</v>
      </c>
      <c r="B33" s="3"/>
      <c r="C33" s="4"/>
      <c r="D33" s="4"/>
      <c r="E33" s="4"/>
      <c r="F33" s="4"/>
      <c r="G33" s="4"/>
      <c r="H33" s="4"/>
      <c r="I33" s="4"/>
      <c r="J33" s="4"/>
      <c r="K33" s="4" t="str">
        <f t="shared" si="1"/>
        <v>This is Automatic, Don't Edit</v>
      </c>
      <c r="L33" s="4"/>
      <c r="M33" s="4">
        <f t="shared" si="0"/>
        <v>0</v>
      </c>
      <c r="N33" s="5"/>
      <c r="O33" s="5"/>
      <c r="P33" s="5"/>
    </row>
    <row r="34" spans="1:16" ht="43.2" customHeight="1" x14ac:dyDescent="0.25">
      <c r="A34" s="3">
        <v>29</v>
      </c>
      <c r="B34" s="3"/>
      <c r="C34" s="4"/>
      <c r="D34" s="4"/>
      <c r="E34" s="4"/>
      <c r="F34" s="4"/>
      <c r="G34" s="4"/>
      <c r="H34" s="4"/>
      <c r="I34" s="4"/>
      <c r="J34" s="4"/>
      <c r="K34" s="4" t="str">
        <f t="shared" si="1"/>
        <v>This is Automatic, Don't Edit</v>
      </c>
      <c r="L34" s="4"/>
      <c r="M34" s="4">
        <f t="shared" si="0"/>
        <v>0</v>
      </c>
      <c r="N34" s="5"/>
      <c r="O34" s="5"/>
      <c r="P34" s="5"/>
    </row>
    <row r="35" spans="1:16" ht="43.2" customHeight="1" x14ac:dyDescent="0.25">
      <c r="A35" s="3">
        <v>30</v>
      </c>
      <c r="B35" s="3"/>
      <c r="C35" s="4"/>
      <c r="D35" s="4"/>
      <c r="E35" s="4"/>
      <c r="F35" s="4"/>
      <c r="G35" s="4"/>
      <c r="H35" s="4"/>
      <c r="I35" s="4"/>
      <c r="J35" s="4"/>
      <c r="K35" s="4" t="str">
        <f t="shared" si="1"/>
        <v>This is Automatic, Don't Edit</v>
      </c>
      <c r="L35" s="4"/>
      <c r="M35" s="4">
        <f t="shared" si="0"/>
        <v>0</v>
      </c>
      <c r="N35" s="5"/>
      <c r="O35" s="5"/>
      <c r="P35" s="5"/>
    </row>
    <row r="36" spans="1:16" ht="43.2" customHeight="1" x14ac:dyDescent="0.25">
      <c r="A36" s="3">
        <v>31</v>
      </c>
      <c r="B36" s="3"/>
      <c r="C36" s="4"/>
      <c r="D36" s="4"/>
      <c r="E36" s="4"/>
      <c r="F36" s="4"/>
      <c r="G36" s="4"/>
      <c r="H36" s="4"/>
      <c r="I36" s="4"/>
      <c r="J36" s="4"/>
      <c r="K36" s="4" t="str">
        <f t="shared" si="1"/>
        <v>This is Automatic, Don't Edit</v>
      </c>
      <c r="L36" s="4"/>
      <c r="M36" s="4">
        <f t="shared" si="0"/>
        <v>0</v>
      </c>
      <c r="N36" s="5"/>
      <c r="O36" s="5"/>
      <c r="P36" s="5"/>
    </row>
    <row r="37" spans="1:16" ht="22.2" x14ac:dyDescent="0.25">
      <c r="A37" s="31" t="s">
        <v>17</v>
      </c>
      <c r="B37" s="31"/>
      <c r="C37" s="31"/>
      <c r="D37" s="31"/>
      <c r="E37" s="31"/>
      <c r="F37" s="31"/>
      <c r="G37" s="31"/>
      <c r="H37" s="31"/>
      <c r="I37" s="31"/>
      <c r="J37" s="7"/>
      <c r="K37" s="8">
        <f>SUMIF(E6:E36,"AED",K6:K36)</f>
        <v>0</v>
      </c>
      <c r="L37" s="9"/>
      <c r="M37" s="10">
        <f>SUMIF(E6:E36,"AED",M6:M36)</f>
        <v>0</v>
      </c>
      <c r="N37" s="6"/>
      <c r="O37" s="5"/>
      <c r="P37" s="5"/>
    </row>
    <row r="38" spans="1:16" ht="22.2" x14ac:dyDescent="0.25">
      <c r="A38" s="31" t="s">
        <v>18</v>
      </c>
      <c r="B38" s="31"/>
      <c r="C38" s="31"/>
      <c r="D38" s="31"/>
      <c r="E38" s="31"/>
      <c r="F38" s="31"/>
      <c r="G38" s="31"/>
      <c r="H38" s="31"/>
      <c r="I38" s="31"/>
      <c r="J38" s="7"/>
      <c r="K38" s="8">
        <f>SUMIF(E6:E36,"USD",K6:K36)</f>
        <v>0</v>
      </c>
      <c r="L38" s="9"/>
      <c r="M38" s="11">
        <f>SUMIF(E6:E36,"USD",M6:M36)</f>
        <v>0</v>
      </c>
      <c r="N38" s="6"/>
      <c r="O38" s="5"/>
      <c r="P38" s="5"/>
    </row>
    <row r="39" spans="1:16" ht="22.2" x14ac:dyDescent="0.25">
      <c r="A39" s="31" t="s">
        <v>19</v>
      </c>
      <c r="B39" s="31"/>
      <c r="C39" s="31"/>
      <c r="D39" s="31"/>
      <c r="E39" s="31"/>
      <c r="F39" s="31"/>
      <c r="G39" s="31"/>
      <c r="H39" s="31"/>
      <c r="I39" s="31"/>
      <c r="J39" s="7"/>
      <c r="K39" s="8">
        <f>SUMIF(E6:E36,"PHP",K6:K36)</f>
        <v>0</v>
      </c>
      <c r="L39" s="9"/>
      <c r="M39" s="12">
        <f>SUMIF(E6:E36,"PHP",M6:M36)</f>
        <v>0</v>
      </c>
      <c r="N39" s="6"/>
      <c r="O39" s="5"/>
      <c r="P39" s="5"/>
    </row>
  </sheetData>
  <mergeCells count="11">
    <mergeCell ref="A37:I37"/>
    <mergeCell ref="A38:I38"/>
    <mergeCell ref="A39:I39"/>
    <mergeCell ref="A1:N1"/>
    <mergeCell ref="A2:N2"/>
    <mergeCell ref="A3:C3"/>
    <mergeCell ref="E3:H3"/>
    <mergeCell ref="I3:N3"/>
    <mergeCell ref="A4:B4"/>
    <mergeCell ref="E4:F4"/>
    <mergeCell ref="G4:I4"/>
  </mergeCells>
  <phoneticPr fontId="13" type="noConversion"/>
  <dataValidations count="3">
    <dataValidation type="list" allowBlank="1" showInputMessage="1" showErrorMessage="1" sqref="O6:P39" xr:uid="{D57B999C-8CBD-4C71-B199-688B80763C11}">
      <formula1>"Pending, Chased, Completed, Skipped"</formula1>
    </dataValidation>
    <dataValidation type="list" allowBlank="1" showInputMessage="1" showErrorMessage="1" sqref="A1:N1" xr:uid="{D2E463A8-3A83-4955-9BBF-EC8C86D3E47D}">
      <formula1>"MYK,EMPIRE GOLD BY ETG"</formula1>
    </dataValidation>
    <dataValidation type="list" allowBlank="1" showInputMessage="1" showErrorMessage="1" sqref="I3:N3" xr:uid="{63E8E355-5180-4DCB-BE0F-E3BF26E1E89C}">
      <formula1>"PAPS, ROSE, YHEN"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DAD243-CE0A-45A5-9E9F-7CDCCD60960F}">
          <x14:formula1>
            <xm:f>'DATA''S'!$A$2:$A$351</xm:f>
          </x14:formula1>
          <xm:sqref>D6:D36</xm:sqref>
        </x14:dataValidation>
        <x14:dataValidation type="list" allowBlank="1" showInputMessage="1" showErrorMessage="1" xr:uid="{E8E089D6-A069-41DF-A412-FA646AF0BCA0}">
          <x14:formula1>
            <xm:f>'DATA''S'!$H$2:$H$121</xm:f>
          </x14:formula1>
          <xm:sqref>A2:N2</xm:sqref>
        </x14:dataValidation>
        <x14:dataValidation type="list" allowBlank="1" showInputMessage="1" showErrorMessage="1" xr:uid="{4CE5A767-76C2-4383-AEE3-8D871F874902}">
          <x14:formula1>
            <xm:f>'DATA''S'!$E$2:$E$1048576</xm:f>
          </x14:formula1>
          <xm:sqref>D3 G6:G36</xm:sqref>
        </x14:dataValidation>
        <x14:dataValidation type="list" allowBlank="1" showInputMessage="1" showErrorMessage="1" xr:uid="{BFAB3CD3-A765-4807-BF4A-B57D073F0C68}">
          <x14:formula1>
            <xm:f>'DATA''S'!$F$2:$F$1048576</xm:f>
          </x14:formula1>
          <xm:sqref>I6:I36</xm:sqref>
        </x14:dataValidation>
        <x14:dataValidation type="list" allowBlank="1" showInputMessage="1" showErrorMessage="1" xr:uid="{D46A58EC-B7E7-44A7-A562-AC287C4E74D7}">
          <x14:formula1>
            <xm:f>'DATA''S'!$D$2:$D$1048576</xm:f>
          </x14:formula1>
          <xm:sqref>F6:F36</xm:sqref>
        </x14:dataValidation>
        <x14:dataValidation type="list" allowBlank="1" showInputMessage="1" showErrorMessage="1" xr:uid="{814EFE92-1F31-4223-BCC2-D249A999946E}">
          <x14:formula1>
            <xm:f>'DATA''S'!$C$2:$C$1048576</xm:f>
          </x14:formula1>
          <xm:sqref>E6:E36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1A7B-9F0F-40BD-A351-FBE97538BCC4}">
  <dimension ref="A1:P39"/>
  <sheetViews>
    <sheetView zoomScale="56" zoomScaleNormal="37" workbookViewId="0">
      <selection activeCell="C5" sqref="C5"/>
    </sheetView>
  </sheetViews>
  <sheetFormatPr defaultColWidth="11" defaultRowHeight="15.6" x14ac:dyDescent="0.25"/>
  <cols>
    <col min="1" max="1" width="4.5" bestFit="1" customWidth="1"/>
    <col min="2" max="2" width="17.59765625" customWidth="1"/>
    <col min="3" max="3" width="44.5" customWidth="1"/>
    <col min="4" max="4" width="57.09765625" customWidth="1"/>
    <col min="5" max="5" width="14.09765625" bestFit="1" customWidth="1"/>
    <col min="6" max="6" width="13.69921875" customWidth="1"/>
    <col min="7" max="7" width="10.59765625" bestFit="1" customWidth="1"/>
    <col min="8" max="8" width="6.5" customWidth="1"/>
    <col min="9" max="9" width="10.3984375" style="2" customWidth="1"/>
    <col min="10" max="10" width="19" style="2" customWidth="1"/>
    <col min="11" max="11" width="26.296875" style="2" hidden="1" customWidth="1"/>
    <col min="12" max="12" width="24.59765625" bestFit="1" customWidth="1"/>
    <col min="13" max="13" width="28.09765625" bestFit="1" customWidth="1"/>
    <col min="14" max="14" width="43.8984375" customWidth="1"/>
    <col min="15" max="15" width="28.5" customWidth="1"/>
    <col min="16" max="16" width="32.59765625" customWidth="1"/>
  </cols>
  <sheetData>
    <row r="1" spans="1:16" ht="66.599999999999994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13"/>
      <c r="P1" s="13"/>
    </row>
    <row r="2" spans="1:16" ht="25.2" x14ac:dyDescent="0.25">
      <c r="A2" s="38" t="s">
        <v>106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14"/>
      <c r="P2" s="14"/>
    </row>
    <row r="3" spans="1:16" ht="25.2" x14ac:dyDescent="0.25">
      <c r="A3" s="38" t="s">
        <v>1</v>
      </c>
      <c r="B3" s="38"/>
      <c r="C3" s="38"/>
      <c r="D3" s="14" t="s">
        <v>25</v>
      </c>
      <c r="E3" s="38" t="s">
        <v>2</v>
      </c>
      <c r="F3" s="38"/>
      <c r="G3" s="38"/>
      <c r="H3" s="38"/>
      <c r="I3" s="38" t="s">
        <v>26</v>
      </c>
      <c r="J3" s="38"/>
      <c r="K3" s="38"/>
      <c r="L3" s="38"/>
      <c r="M3" s="38"/>
      <c r="N3" s="38"/>
      <c r="O3" s="14"/>
      <c r="P3" s="14"/>
    </row>
    <row r="4" spans="1:16" ht="25.2" x14ac:dyDescent="0.25">
      <c r="A4" s="32" t="s">
        <v>3</v>
      </c>
      <c r="B4" s="33"/>
      <c r="C4" s="23">
        <f ca="1">TODAY()</f>
        <v>46228</v>
      </c>
      <c r="D4" s="15" t="s">
        <v>22</v>
      </c>
      <c r="E4" s="34">
        <f>SUM(J6:J36)</f>
        <v>0</v>
      </c>
      <c r="F4" s="35"/>
      <c r="G4" s="34" t="s">
        <v>4</v>
      </c>
      <c r="H4" s="36"/>
      <c r="I4" s="35"/>
      <c r="J4" s="16"/>
      <c r="K4" s="17">
        <f>M37</f>
        <v>0</v>
      </c>
      <c r="L4" s="22">
        <f>M37</f>
        <v>0</v>
      </c>
      <c r="M4" s="18">
        <f>M39</f>
        <v>0</v>
      </c>
      <c r="N4" s="19" t="s">
        <v>21</v>
      </c>
      <c r="O4" s="19"/>
      <c r="P4" s="19"/>
    </row>
    <row r="5" spans="1:16" s="1" customFormat="1" ht="33.9" customHeight="1" x14ac:dyDescent="0.35">
      <c r="A5" s="20" t="s">
        <v>5</v>
      </c>
      <c r="B5" s="20" t="s">
        <v>29</v>
      </c>
      <c r="C5" s="20" t="s">
        <v>20</v>
      </c>
      <c r="D5" s="20" t="s">
        <v>23</v>
      </c>
      <c r="E5" s="20" t="s">
        <v>7</v>
      </c>
      <c r="F5" s="20" t="s">
        <v>8</v>
      </c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20" t="s">
        <v>14</v>
      </c>
      <c r="M5" s="20" t="s">
        <v>15</v>
      </c>
      <c r="N5" s="20" t="s">
        <v>16</v>
      </c>
      <c r="O5" s="20" t="s">
        <v>30</v>
      </c>
      <c r="P5" s="20" t="s">
        <v>31</v>
      </c>
    </row>
    <row r="6" spans="1:16" ht="34.950000000000003" customHeight="1" x14ac:dyDescent="0.25">
      <c r="A6" s="3">
        <v>1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>
        <f t="shared" ref="M6:M36" si="0">ROUND(J6*L6,0)</f>
        <v>0</v>
      </c>
      <c r="N6" s="5"/>
      <c r="O6" s="5"/>
      <c r="P6" s="5"/>
    </row>
    <row r="7" spans="1:16" ht="34.950000000000003" customHeight="1" x14ac:dyDescent="0.25">
      <c r="A7" s="3">
        <v>2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>
        <f t="shared" si="0"/>
        <v>0</v>
      </c>
      <c r="N7" s="5"/>
      <c r="O7" s="5"/>
      <c r="P7" s="5"/>
    </row>
    <row r="8" spans="1:16" ht="34.950000000000003" customHeight="1" x14ac:dyDescent="0.25">
      <c r="A8" s="3">
        <v>3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>
        <f t="shared" si="0"/>
        <v>0</v>
      </c>
      <c r="N8" s="5"/>
      <c r="O8" s="5"/>
      <c r="P8" s="5"/>
    </row>
    <row r="9" spans="1:16" ht="34.950000000000003" customHeight="1" x14ac:dyDescent="0.25">
      <c r="A9" s="3">
        <v>4</v>
      </c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>
        <f t="shared" si="0"/>
        <v>0</v>
      </c>
      <c r="N9" s="5"/>
      <c r="O9" s="5"/>
      <c r="P9" s="5"/>
    </row>
    <row r="10" spans="1:16" ht="34.950000000000003" customHeight="1" x14ac:dyDescent="0.25">
      <c r="A10" s="3">
        <v>5</v>
      </c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>
        <f t="shared" si="0"/>
        <v>0</v>
      </c>
      <c r="N10" s="5"/>
      <c r="O10" s="5"/>
      <c r="P10" s="5"/>
    </row>
    <row r="11" spans="1:16" ht="34.950000000000003" customHeight="1" x14ac:dyDescent="0.25">
      <c r="A11" s="3">
        <v>6</v>
      </c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>
        <f t="shared" si="0"/>
        <v>0</v>
      </c>
      <c r="N11" s="5"/>
      <c r="O11" s="5"/>
      <c r="P11" s="5"/>
    </row>
    <row r="12" spans="1:16" ht="34.950000000000003" customHeight="1" x14ac:dyDescent="0.25">
      <c r="A12" s="3">
        <v>7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>
        <f t="shared" si="0"/>
        <v>0</v>
      </c>
      <c r="N12" s="5"/>
      <c r="O12" s="5"/>
      <c r="P12" s="5"/>
    </row>
    <row r="13" spans="1:16" ht="34.950000000000003" customHeight="1" x14ac:dyDescent="0.25">
      <c r="A13" s="3">
        <v>8</v>
      </c>
      <c r="B13" s="3"/>
      <c r="C13" s="4"/>
      <c r="D13" s="4"/>
      <c r="E13" s="4"/>
      <c r="F13" s="4"/>
      <c r="G13" s="4"/>
      <c r="H13" s="21"/>
      <c r="I13" s="4"/>
      <c r="J13" s="4"/>
      <c r="K13" s="4"/>
      <c r="L13" s="4"/>
      <c r="M13" s="4">
        <f t="shared" si="0"/>
        <v>0</v>
      </c>
      <c r="N13" s="5"/>
      <c r="O13" s="5"/>
      <c r="P13" s="5"/>
    </row>
    <row r="14" spans="1:16" ht="34.950000000000003" customHeight="1" x14ac:dyDescent="0.25">
      <c r="A14" s="3">
        <v>9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>
        <f t="shared" si="0"/>
        <v>0</v>
      </c>
      <c r="N14" s="5"/>
      <c r="O14" s="5"/>
      <c r="P14" s="5"/>
    </row>
    <row r="15" spans="1:16" ht="34.950000000000003" customHeight="1" x14ac:dyDescent="0.25">
      <c r="A15" s="3">
        <v>10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>
        <f t="shared" si="0"/>
        <v>0</v>
      </c>
      <c r="N15" s="5"/>
      <c r="O15" s="5"/>
      <c r="P15" s="5"/>
    </row>
    <row r="16" spans="1:16" ht="34.950000000000003" customHeight="1" x14ac:dyDescent="0.25">
      <c r="A16" s="3">
        <v>11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>
        <f t="shared" si="0"/>
        <v>0</v>
      </c>
      <c r="N16" s="5"/>
      <c r="O16" s="5"/>
      <c r="P16" s="5"/>
    </row>
    <row r="17" spans="1:16" ht="34.950000000000003" customHeight="1" x14ac:dyDescent="0.25">
      <c r="A17" s="3">
        <v>12</v>
      </c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>
        <f t="shared" si="0"/>
        <v>0</v>
      </c>
      <c r="N17" s="5"/>
      <c r="O17" s="5"/>
      <c r="P17" s="5"/>
    </row>
    <row r="18" spans="1:16" ht="34.950000000000003" customHeight="1" x14ac:dyDescent="0.25">
      <c r="A18" s="3">
        <v>13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>
        <f t="shared" si="0"/>
        <v>0</v>
      </c>
      <c r="N18" s="5"/>
      <c r="O18" s="5"/>
      <c r="P18" s="5"/>
    </row>
    <row r="19" spans="1:16" ht="34.799999999999997" customHeight="1" x14ac:dyDescent="0.25">
      <c r="A19" s="3">
        <v>14</v>
      </c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>
        <f t="shared" si="0"/>
        <v>0</v>
      </c>
      <c r="N19" s="5"/>
      <c r="O19" s="5"/>
      <c r="P19" s="5"/>
    </row>
    <row r="20" spans="1:16" ht="34.950000000000003" customHeight="1" x14ac:dyDescent="0.25">
      <c r="A20" s="3">
        <v>15</v>
      </c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>
        <f t="shared" si="0"/>
        <v>0</v>
      </c>
      <c r="N20" s="5"/>
      <c r="O20" s="5"/>
      <c r="P20" s="5"/>
    </row>
    <row r="21" spans="1:16" ht="34.950000000000003" customHeight="1" x14ac:dyDescent="0.25">
      <c r="A21" s="3">
        <v>16</v>
      </c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>
        <f t="shared" si="0"/>
        <v>0</v>
      </c>
      <c r="N21" s="5"/>
      <c r="O21" s="5"/>
      <c r="P21" s="5"/>
    </row>
    <row r="22" spans="1:16" ht="34.950000000000003" customHeight="1" x14ac:dyDescent="0.25">
      <c r="A22" s="3">
        <v>17</v>
      </c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>
        <f t="shared" si="0"/>
        <v>0</v>
      </c>
      <c r="N22" s="5"/>
      <c r="O22" s="5"/>
      <c r="P22" s="5"/>
    </row>
    <row r="23" spans="1:16" ht="34.950000000000003" customHeight="1" x14ac:dyDescent="0.25">
      <c r="A23" s="3">
        <v>18</v>
      </c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>
        <f t="shared" si="0"/>
        <v>0</v>
      </c>
      <c r="N23" s="5"/>
      <c r="O23" s="5"/>
      <c r="P23" s="5"/>
    </row>
    <row r="24" spans="1:16" ht="34.950000000000003" customHeight="1" x14ac:dyDescent="0.25">
      <c r="A24" s="3">
        <v>19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>
        <f t="shared" si="0"/>
        <v>0</v>
      </c>
      <c r="N24" s="5"/>
      <c r="O24" s="5"/>
      <c r="P24" s="5"/>
    </row>
    <row r="25" spans="1:16" ht="34.950000000000003" customHeight="1" x14ac:dyDescent="0.25">
      <c r="A25" s="3">
        <v>20</v>
      </c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>
        <f t="shared" si="0"/>
        <v>0</v>
      </c>
      <c r="N25" s="5"/>
      <c r="O25" s="5"/>
      <c r="P25" s="5"/>
    </row>
    <row r="26" spans="1:16" ht="34.950000000000003" customHeight="1" x14ac:dyDescent="0.25">
      <c r="A26" s="3">
        <v>21</v>
      </c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>
        <f t="shared" si="0"/>
        <v>0</v>
      </c>
      <c r="N26" s="5"/>
      <c r="O26" s="5"/>
      <c r="P26" s="5"/>
    </row>
    <row r="27" spans="1:16" ht="34.950000000000003" customHeight="1" x14ac:dyDescent="0.25">
      <c r="A27" s="3">
        <v>22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>
        <f t="shared" si="0"/>
        <v>0</v>
      </c>
      <c r="N27" s="5"/>
      <c r="O27" s="5"/>
      <c r="P27" s="5"/>
    </row>
    <row r="28" spans="1:16" ht="34.950000000000003" customHeight="1" x14ac:dyDescent="0.25">
      <c r="A28" s="3">
        <v>23</v>
      </c>
      <c r="B28" s="3"/>
      <c r="C28" s="4"/>
      <c r="D28" s="4"/>
      <c r="E28" s="4"/>
      <c r="F28" s="4"/>
      <c r="G28" s="4"/>
      <c r="H28" s="4"/>
      <c r="I28" s="4"/>
      <c r="J28" s="4"/>
      <c r="K28" s="4" t="str">
        <f t="shared" ref="K28:K36" si="1">IF(J28&gt;0,J28-0.05,"This is Automatic, Don't Edit")</f>
        <v>This is Automatic, Don't Edit</v>
      </c>
      <c r="L28" s="4"/>
      <c r="M28" s="4">
        <f t="shared" si="0"/>
        <v>0</v>
      </c>
      <c r="N28" s="5"/>
      <c r="O28" s="5"/>
      <c r="P28" s="5"/>
    </row>
    <row r="29" spans="1:16" ht="34.950000000000003" customHeight="1" x14ac:dyDescent="0.25">
      <c r="A29" s="3">
        <v>24</v>
      </c>
      <c r="B29" s="3"/>
      <c r="C29" s="4"/>
      <c r="D29" s="4"/>
      <c r="E29" s="4"/>
      <c r="F29" s="4"/>
      <c r="G29" s="4"/>
      <c r="H29" s="4"/>
      <c r="I29" s="4"/>
      <c r="J29" s="4"/>
      <c r="K29" s="4" t="str">
        <f t="shared" si="1"/>
        <v>This is Automatic, Don't Edit</v>
      </c>
      <c r="L29" s="4"/>
      <c r="M29" s="4">
        <f t="shared" si="0"/>
        <v>0</v>
      </c>
      <c r="N29" s="5"/>
      <c r="O29" s="5"/>
      <c r="P29" s="5"/>
    </row>
    <row r="30" spans="1:16" ht="34.950000000000003" customHeight="1" x14ac:dyDescent="0.25">
      <c r="A30" s="3">
        <v>25</v>
      </c>
      <c r="B30" s="3"/>
      <c r="C30" s="4"/>
      <c r="D30" s="4"/>
      <c r="E30" s="4"/>
      <c r="F30" s="4"/>
      <c r="G30" s="4"/>
      <c r="H30" s="4"/>
      <c r="I30" s="4"/>
      <c r="J30" s="4"/>
      <c r="K30" s="4" t="str">
        <f t="shared" si="1"/>
        <v>This is Automatic, Don't Edit</v>
      </c>
      <c r="L30" s="4"/>
      <c r="M30" s="4">
        <f t="shared" si="0"/>
        <v>0</v>
      </c>
      <c r="N30" s="5"/>
      <c r="O30" s="5"/>
      <c r="P30" s="5"/>
    </row>
    <row r="31" spans="1:16" ht="34.950000000000003" customHeight="1" x14ac:dyDescent="0.25">
      <c r="A31" s="3">
        <v>26</v>
      </c>
      <c r="B31" s="3"/>
      <c r="C31" s="4"/>
      <c r="D31" s="4"/>
      <c r="E31" s="4"/>
      <c r="F31" s="4"/>
      <c r="G31" s="4"/>
      <c r="H31" s="4"/>
      <c r="I31" s="4"/>
      <c r="J31" s="4"/>
      <c r="K31" s="4" t="str">
        <f t="shared" si="1"/>
        <v>This is Automatic, Don't Edit</v>
      </c>
      <c r="L31" s="4"/>
      <c r="M31" s="4">
        <f t="shared" si="0"/>
        <v>0</v>
      </c>
      <c r="N31" s="5"/>
      <c r="O31" s="5"/>
      <c r="P31" s="5"/>
    </row>
    <row r="32" spans="1:16" ht="34.950000000000003" customHeight="1" x14ac:dyDescent="0.25">
      <c r="A32" s="3">
        <v>27</v>
      </c>
      <c r="B32" s="3"/>
      <c r="C32" s="4"/>
      <c r="D32" s="4"/>
      <c r="E32" s="4"/>
      <c r="F32" s="4"/>
      <c r="G32" s="4"/>
      <c r="H32" s="4"/>
      <c r="I32" s="4"/>
      <c r="J32" s="4"/>
      <c r="K32" s="4" t="str">
        <f t="shared" si="1"/>
        <v>This is Automatic, Don't Edit</v>
      </c>
      <c r="L32" s="4"/>
      <c r="M32" s="4">
        <f t="shared" si="0"/>
        <v>0</v>
      </c>
      <c r="N32" s="5"/>
      <c r="O32" s="5"/>
      <c r="P32" s="5"/>
    </row>
    <row r="33" spans="1:16" ht="34.950000000000003" customHeight="1" x14ac:dyDescent="0.25">
      <c r="A33" s="3">
        <v>28</v>
      </c>
      <c r="B33" s="3"/>
      <c r="C33" s="4"/>
      <c r="D33" s="4"/>
      <c r="E33" s="4"/>
      <c r="F33" s="4"/>
      <c r="G33" s="4"/>
      <c r="H33" s="4"/>
      <c r="I33" s="4"/>
      <c r="J33" s="4"/>
      <c r="K33" s="4" t="str">
        <f t="shared" si="1"/>
        <v>This is Automatic, Don't Edit</v>
      </c>
      <c r="L33" s="4"/>
      <c r="M33" s="4">
        <f t="shared" si="0"/>
        <v>0</v>
      </c>
      <c r="N33" s="5"/>
      <c r="O33" s="5"/>
      <c r="P33" s="5"/>
    </row>
    <row r="34" spans="1:16" ht="34.950000000000003" customHeight="1" x14ac:dyDescent="0.25">
      <c r="A34" s="3">
        <v>29</v>
      </c>
      <c r="B34" s="3"/>
      <c r="C34" s="4"/>
      <c r="D34" s="4"/>
      <c r="E34" s="4"/>
      <c r="F34" s="4"/>
      <c r="G34" s="4"/>
      <c r="H34" s="4"/>
      <c r="I34" s="4"/>
      <c r="J34" s="4"/>
      <c r="K34" s="4" t="str">
        <f t="shared" si="1"/>
        <v>This is Automatic, Don't Edit</v>
      </c>
      <c r="L34" s="4"/>
      <c r="M34" s="4">
        <f t="shared" si="0"/>
        <v>0</v>
      </c>
      <c r="N34" s="5"/>
      <c r="O34" s="5"/>
      <c r="P34" s="5"/>
    </row>
    <row r="35" spans="1:16" ht="34.950000000000003" customHeight="1" x14ac:dyDescent="0.25">
      <c r="A35" s="3">
        <v>30</v>
      </c>
      <c r="B35" s="3"/>
      <c r="C35" s="4"/>
      <c r="D35" s="4"/>
      <c r="E35" s="4"/>
      <c r="F35" s="4"/>
      <c r="G35" s="4"/>
      <c r="H35" s="4"/>
      <c r="I35" s="4"/>
      <c r="J35" s="4"/>
      <c r="K35" s="4" t="str">
        <f t="shared" si="1"/>
        <v>This is Automatic, Don't Edit</v>
      </c>
      <c r="L35" s="4"/>
      <c r="M35" s="4">
        <f t="shared" si="0"/>
        <v>0</v>
      </c>
      <c r="N35" s="5"/>
      <c r="O35" s="5"/>
      <c r="P35" s="5"/>
    </row>
    <row r="36" spans="1:16" ht="34.950000000000003" customHeight="1" x14ac:dyDescent="0.25">
      <c r="A36" s="3">
        <v>31</v>
      </c>
      <c r="B36" s="3"/>
      <c r="C36" s="4"/>
      <c r="D36" s="4"/>
      <c r="E36" s="4"/>
      <c r="F36" s="4"/>
      <c r="G36" s="4"/>
      <c r="H36" s="4"/>
      <c r="I36" s="4"/>
      <c r="J36" s="4"/>
      <c r="K36" s="4" t="str">
        <f t="shared" si="1"/>
        <v>This is Automatic, Don't Edit</v>
      </c>
      <c r="L36" s="4"/>
      <c r="M36" s="4">
        <f t="shared" si="0"/>
        <v>0</v>
      </c>
      <c r="N36" s="5"/>
      <c r="O36" s="5"/>
      <c r="P36" s="5"/>
    </row>
    <row r="37" spans="1:16" ht="22.2" x14ac:dyDescent="0.25">
      <c r="A37" s="31" t="s">
        <v>17</v>
      </c>
      <c r="B37" s="31"/>
      <c r="C37" s="31"/>
      <c r="D37" s="31"/>
      <c r="E37" s="31"/>
      <c r="F37" s="31"/>
      <c r="G37" s="31"/>
      <c r="H37" s="31"/>
      <c r="I37" s="31"/>
      <c r="J37" s="7"/>
      <c r="K37" s="8">
        <f>SUMIF(E6:E36,"AED",K6:K36)</f>
        <v>0</v>
      </c>
      <c r="L37" s="9"/>
      <c r="M37" s="10">
        <f>SUMIF(E6:E36,"AED",M6:M36)</f>
        <v>0</v>
      </c>
      <c r="N37" s="6"/>
      <c r="O37" s="5"/>
      <c r="P37" s="5"/>
    </row>
    <row r="38" spans="1:16" ht="22.2" x14ac:dyDescent="0.25">
      <c r="A38" s="31" t="s">
        <v>18</v>
      </c>
      <c r="B38" s="31"/>
      <c r="C38" s="31"/>
      <c r="D38" s="31"/>
      <c r="E38" s="31"/>
      <c r="F38" s="31"/>
      <c r="G38" s="31"/>
      <c r="H38" s="31"/>
      <c r="I38" s="31"/>
      <c r="J38" s="7"/>
      <c r="K38" s="8">
        <f>SUMIF(E6:E36,"USD",K6:K36)</f>
        <v>0</v>
      </c>
      <c r="L38" s="9"/>
      <c r="M38" s="11">
        <f>SUMIF(E6:E36,"USD",M6:M36)</f>
        <v>0</v>
      </c>
      <c r="N38" s="6"/>
      <c r="O38" s="5"/>
      <c r="P38" s="5"/>
    </row>
    <row r="39" spans="1:16" ht="22.2" x14ac:dyDescent="0.25">
      <c r="A39" s="31" t="s">
        <v>19</v>
      </c>
      <c r="B39" s="31"/>
      <c r="C39" s="31"/>
      <c r="D39" s="31"/>
      <c r="E39" s="31"/>
      <c r="F39" s="31"/>
      <c r="G39" s="31"/>
      <c r="H39" s="31"/>
      <c r="I39" s="31"/>
      <c r="J39" s="7"/>
      <c r="K39" s="8">
        <f>SUMIF(E6:E36,"PHP",K6:K36)</f>
        <v>0</v>
      </c>
      <c r="L39" s="9"/>
      <c r="M39" s="12">
        <f>SUMIF(E6:E36,"PHP",M6:M36)</f>
        <v>0</v>
      </c>
      <c r="N39" s="6"/>
      <c r="O39" s="5"/>
      <c r="P39" s="5"/>
    </row>
  </sheetData>
  <mergeCells count="11">
    <mergeCell ref="A37:I37"/>
    <mergeCell ref="A38:I38"/>
    <mergeCell ref="A39:I39"/>
    <mergeCell ref="A1:N1"/>
    <mergeCell ref="A2:N2"/>
    <mergeCell ref="A3:C3"/>
    <mergeCell ref="E3:H3"/>
    <mergeCell ref="I3:N3"/>
    <mergeCell ref="A4:B4"/>
    <mergeCell ref="E4:F4"/>
    <mergeCell ref="G4:I4"/>
  </mergeCells>
  <dataValidations count="3">
    <dataValidation type="list" allowBlank="1" showInputMessage="1" showErrorMessage="1" sqref="I3:N3" xr:uid="{3E092EB1-E47D-4245-B64F-997C950D99BE}">
      <formula1>"PAPS, ROSE, YHEN"</formula1>
    </dataValidation>
    <dataValidation type="list" allowBlank="1" showInputMessage="1" showErrorMessage="1" sqref="A1:N1" xr:uid="{62306450-F3BD-4276-B994-03B35AD21E65}">
      <formula1>"MYK,EMPIRE GOLD BY ETG"</formula1>
    </dataValidation>
    <dataValidation type="list" allowBlank="1" showInputMessage="1" showErrorMessage="1" sqref="O6:P39" xr:uid="{9BDFF4E9-6A8E-43E1-BECD-D1E820C3EE34}">
      <formula1>"Pending, Chased, Completed, Skipped"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EA48266-B4D6-42DB-A322-D5F98137955A}">
          <x14:formula1>
            <xm:f>'DATA''S'!$H$2:$H$121</xm:f>
          </x14:formula1>
          <xm:sqref>A2:N2</xm:sqref>
        </x14:dataValidation>
        <x14:dataValidation type="list" allowBlank="1" showInputMessage="1" showErrorMessage="1" xr:uid="{3EAB0E62-4A12-47E6-88D0-274A29B6EA99}">
          <x14:formula1>
            <xm:f>'DATA''S'!$D$2:$D$1048576</xm:f>
          </x14:formula1>
          <xm:sqref>F6:F36</xm:sqref>
        </x14:dataValidation>
        <x14:dataValidation type="list" allowBlank="1" showInputMessage="1" showErrorMessage="1" xr:uid="{96236646-0E89-4DA4-AEDE-6444AFAFDFDE}">
          <x14:formula1>
            <xm:f>'DATA''S'!$A$2:$A$351</xm:f>
          </x14:formula1>
          <xm:sqref>D6:D36</xm:sqref>
        </x14:dataValidation>
        <x14:dataValidation type="list" allowBlank="1" showInputMessage="1" showErrorMessage="1" xr:uid="{B706C3CA-3A01-4FDF-8C9F-3AD175AAF548}">
          <x14:formula1>
            <xm:f>'DATA''S'!$E$2:$E$1048576</xm:f>
          </x14:formula1>
          <xm:sqref>D3 G6:G36</xm:sqref>
        </x14:dataValidation>
        <x14:dataValidation type="list" allowBlank="1" showInputMessage="1" showErrorMessage="1" xr:uid="{35F8A40A-E8CD-4CF5-BC12-EE88F5CDF055}">
          <x14:formula1>
            <xm:f>'DATA''S'!$F$2:$F$1048576</xm:f>
          </x14:formula1>
          <xm:sqref>I6:I36</xm:sqref>
        </x14:dataValidation>
        <x14:dataValidation type="list" allowBlank="1" showInputMessage="1" showErrorMessage="1" xr:uid="{5FCAAF9C-82B3-4897-8104-CA48F1AB622C}">
          <x14:formula1>
            <xm:f>'DATA''S'!$C$2:$C$1048576</xm:f>
          </x14:formula1>
          <xm:sqref>E6:E36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5183C-240F-4D6C-8F8A-B0A9DBB2E82A}">
  <dimension ref="A1:H59"/>
  <sheetViews>
    <sheetView workbookViewId="0">
      <selection activeCell="F4" sqref="F4"/>
    </sheetView>
  </sheetViews>
  <sheetFormatPr defaultRowHeight="15.6" x14ac:dyDescent="0.25"/>
  <sheetData>
    <row r="1" spans="1:8" x14ac:dyDescent="0.25">
      <c r="A1" t="s">
        <v>32</v>
      </c>
      <c r="C1" t="s">
        <v>7</v>
      </c>
      <c r="D1" t="s">
        <v>8</v>
      </c>
      <c r="E1" t="s">
        <v>92</v>
      </c>
      <c r="F1" t="s">
        <v>11</v>
      </c>
      <c r="G1" t="s">
        <v>102</v>
      </c>
      <c r="H1" t="s">
        <v>105</v>
      </c>
    </row>
    <row r="2" spans="1:8" x14ac:dyDescent="0.25">
      <c r="A2" t="s">
        <v>33</v>
      </c>
      <c r="C2" t="s">
        <v>83</v>
      </c>
      <c r="D2" t="s">
        <v>90</v>
      </c>
      <c r="E2" t="s">
        <v>25</v>
      </c>
      <c r="F2" t="s">
        <v>96</v>
      </c>
      <c r="G2" t="s">
        <v>26</v>
      </c>
      <c r="H2" t="s">
        <v>24</v>
      </c>
    </row>
    <row r="3" spans="1:8" x14ac:dyDescent="0.25">
      <c r="A3" t="s">
        <v>34</v>
      </c>
      <c r="C3" t="s">
        <v>84</v>
      </c>
      <c r="D3" t="s">
        <v>91</v>
      </c>
      <c r="E3" t="s">
        <v>93</v>
      </c>
      <c r="F3" t="s">
        <v>97</v>
      </c>
      <c r="G3" t="s">
        <v>103</v>
      </c>
      <c r="H3" t="s">
        <v>27</v>
      </c>
    </row>
    <row r="4" spans="1:8" x14ac:dyDescent="0.25">
      <c r="A4" t="s">
        <v>35</v>
      </c>
      <c r="C4" t="s">
        <v>85</v>
      </c>
      <c r="D4" t="s">
        <v>78</v>
      </c>
      <c r="E4" t="s">
        <v>115</v>
      </c>
      <c r="F4" t="s">
        <v>98</v>
      </c>
      <c r="G4" t="s">
        <v>104</v>
      </c>
      <c r="H4" t="s">
        <v>28</v>
      </c>
    </row>
    <row r="5" spans="1:8" x14ac:dyDescent="0.25">
      <c r="A5" t="s">
        <v>36</v>
      </c>
      <c r="C5" t="s">
        <v>86</v>
      </c>
      <c r="F5" t="s">
        <v>99</v>
      </c>
      <c r="H5" t="s">
        <v>106</v>
      </c>
    </row>
    <row r="6" spans="1:8" x14ac:dyDescent="0.25">
      <c r="A6" t="s">
        <v>37</v>
      </c>
      <c r="C6" t="s">
        <v>87</v>
      </c>
      <c r="F6" t="s">
        <v>100</v>
      </c>
    </row>
    <row r="7" spans="1:8" x14ac:dyDescent="0.25">
      <c r="A7" t="s">
        <v>38</v>
      </c>
      <c r="C7" t="s">
        <v>88</v>
      </c>
      <c r="F7" t="s">
        <v>94</v>
      </c>
    </row>
    <row r="8" spans="1:8" x14ac:dyDescent="0.25">
      <c r="A8" t="s">
        <v>39</v>
      </c>
      <c r="C8" t="s">
        <v>89</v>
      </c>
      <c r="F8" t="s">
        <v>95</v>
      </c>
    </row>
    <row r="9" spans="1:8" x14ac:dyDescent="0.25">
      <c r="A9" t="s">
        <v>40</v>
      </c>
      <c r="F9" t="s">
        <v>101</v>
      </c>
    </row>
    <row r="10" spans="1:8" x14ac:dyDescent="0.25">
      <c r="A10" t="s">
        <v>41</v>
      </c>
      <c r="F10" t="s">
        <v>78</v>
      </c>
    </row>
    <row r="11" spans="1:8" x14ac:dyDescent="0.25">
      <c r="A11" t="s">
        <v>42</v>
      </c>
    </row>
    <row r="12" spans="1:8" x14ac:dyDescent="0.25">
      <c r="A12" t="s">
        <v>43</v>
      </c>
    </row>
    <row r="13" spans="1:8" x14ac:dyDescent="0.25">
      <c r="A13" t="s">
        <v>44</v>
      </c>
    </row>
    <row r="14" spans="1:8" x14ac:dyDescent="0.25">
      <c r="A14" t="s">
        <v>45</v>
      </c>
    </row>
    <row r="15" spans="1:8" x14ac:dyDescent="0.25">
      <c r="A15" t="s">
        <v>46</v>
      </c>
    </row>
    <row r="16" spans="1:8" x14ac:dyDescent="0.25">
      <c r="A16" t="s">
        <v>47</v>
      </c>
    </row>
    <row r="17" spans="1:1" x14ac:dyDescent="0.25">
      <c r="A17" t="s">
        <v>48</v>
      </c>
    </row>
    <row r="18" spans="1:1" x14ac:dyDescent="0.25">
      <c r="A18" t="s">
        <v>49</v>
      </c>
    </row>
    <row r="19" spans="1:1" x14ac:dyDescent="0.25">
      <c r="A19" t="s">
        <v>50</v>
      </c>
    </row>
    <row r="20" spans="1:1" x14ac:dyDescent="0.25">
      <c r="A20" t="s">
        <v>51</v>
      </c>
    </row>
    <row r="21" spans="1:1" x14ac:dyDescent="0.25">
      <c r="A21" t="s">
        <v>52</v>
      </c>
    </row>
    <row r="22" spans="1:1" x14ac:dyDescent="0.25">
      <c r="A22" t="s">
        <v>53</v>
      </c>
    </row>
    <row r="23" spans="1:1" x14ac:dyDescent="0.25">
      <c r="A23" t="s">
        <v>54</v>
      </c>
    </row>
    <row r="24" spans="1:1" x14ac:dyDescent="0.25">
      <c r="A24" t="s">
        <v>55</v>
      </c>
    </row>
    <row r="25" spans="1:1" x14ac:dyDescent="0.25">
      <c r="A25" t="s">
        <v>56</v>
      </c>
    </row>
    <row r="26" spans="1:1" x14ac:dyDescent="0.25">
      <c r="A26" t="s">
        <v>57</v>
      </c>
    </row>
    <row r="27" spans="1:1" x14ac:dyDescent="0.25">
      <c r="A27" t="s">
        <v>58</v>
      </c>
    </row>
    <row r="28" spans="1:1" x14ac:dyDescent="0.25">
      <c r="A28" t="s">
        <v>59</v>
      </c>
    </row>
    <row r="29" spans="1:1" x14ac:dyDescent="0.25">
      <c r="A29" t="s">
        <v>60</v>
      </c>
    </row>
    <row r="30" spans="1:1" x14ac:dyDescent="0.25">
      <c r="A30" t="s">
        <v>61</v>
      </c>
    </row>
    <row r="31" spans="1:1" x14ac:dyDescent="0.25">
      <c r="A31" t="s">
        <v>62</v>
      </c>
    </row>
    <row r="32" spans="1:1" x14ac:dyDescent="0.25">
      <c r="A32" t="s">
        <v>63</v>
      </c>
    </row>
    <row r="33" spans="1:1" x14ac:dyDescent="0.25">
      <c r="A33" t="s">
        <v>64</v>
      </c>
    </row>
    <row r="34" spans="1:1" x14ac:dyDescent="0.25">
      <c r="A34" t="s">
        <v>65</v>
      </c>
    </row>
    <row r="35" spans="1:1" x14ac:dyDescent="0.25">
      <c r="A35" t="s">
        <v>66</v>
      </c>
    </row>
    <row r="36" spans="1:1" x14ac:dyDescent="0.25">
      <c r="A36" t="s">
        <v>67</v>
      </c>
    </row>
    <row r="37" spans="1:1" x14ac:dyDescent="0.25">
      <c r="A37" t="s">
        <v>68</v>
      </c>
    </row>
    <row r="38" spans="1:1" x14ac:dyDescent="0.25">
      <c r="A38" t="s">
        <v>69</v>
      </c>
    </row>
    <row r="39" spans="1:1" x14ac:dyDescent="0.25">
      <c r="A39" t="s">
        <v>70</v>
      </c>
    </row>
    <row r="40" spans="1:1" x14ac:dyDescent="0.25">
      <c r="A40" t="s">
        <v>71</v>
      </c>
    </row>
    <row r="41" spans="1:1" x14ac:dyDescent="0.25">
      <c r="A41" t="s">
        <v>72</v>
      </c>
    </row>
    <row r="42" spans="1:1" x14ac:dyDescent="0.25">
      <c r="A42" t="s">
        <v>73</v>
      </c>
    </row>
    <row r="43" spans="1:1" x14ac:dyDescent="0.25">
      <c r="A43" t="s">
        <v>74</v>
      </c>
    </row>
    <row r="44" spans="1:1" x14ac:dyDescent="0.25">
      <c r="A44" t="s">
        <v>75</v>
      </c>
    </row>
    <row r="45" spans="1:1" x14ac:dyDescent="0.25">
      <c r="A45" t="s">
        <v>76</v>
      </c>
    </row>
    <row r="46" spans="1:1" x14ac:dyDescent="0.25">
      <c r="A46" t="s">
        <v>77</v>
      </c>
    </row>
    <row r="47" spans="1:1" x14ac:dyDescent="0.25">
      <c r="A47" t="s">
        <v>78</v>
      </c>
    </row>
    <row r="48" spans="1:1" x14ac:dyDescent="0.25">
      <c r="A48" t="s">
        <v>79</v>
      </c>
    </row>
    <row r="49" spans="1:3" x14ac:dyDescent="0.25">
      <c r="A49" t="s">
        <v>80</v>
      </c>
    </row>
    <row r="50" spans="1:3" x14ac:dyDescent="0.25">
      <c r="A50" t="s">
        <v>81</v>
      </c>
    </row>
    <row r="51" spans="1:3" x14ac:dyDescent="0.25">
      <c r="A51" t="s">
        <v>82</v>
      </c>
    </row>
    <row r="52" spans="1:3" x14ac:dyDescent="0.25">
      <c r="A52" t="s">
        <v>107</v>
      </c>
    </row>
    <row r="53" spans="1:3" x14ac:dyDescent="0.25">
      <c r="A53" t="s">
        <v>108</v>
      </c>
    </row>
    <row r="54" spans="1:3" ht="16.2" x14ac:dyDescent="0.3">
      <c r="A54" s="27" t="s">
        <v>109</v>
      </c>
    </row>
    <row r="55" spans="1:3" ht="16.2" x14ac:dyDescent="0.3">
      <c r="A55" s="27" t="s">
        <v>110</v>
      </c>
    </row>
    <row r="56" spans="1:3" ht="16.2" x14ac:dyDescent="0.3">
      <c r="A56" s="27" t="s">
        <v>111</v>
      </c>
    </row>
    <row r="57" spans="1:3" ht="16.2" x14ac:dyDescent="0.3">
      <c r="A57" s="27" t="s">
        <v>113</v>
      </c>
      <c r="B57" s="27"/>
      <c r="C57" s="27"/>
    </row>
    <row r="58" spans="1:3" ht="16.2" x14ac:dyDescent="0.3">
      <c r="A58" s="27" t="s">
        <v>112</v>
      </c>
    </row>
    <row r="59" spans="1:3" ht="16.2" x14ac:dyDescent="0.3">
      <c r="A59" s="2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 UNIVERSAL TRADING LLC</vt:lpstr>
      <vt:lpstr>NERS JEWELRY AND DIAMOND</vt:lpstr>
      <vt:lpstr>SWEET AND GLAM</vt:lpstr>
      <vt:lpstr>J'S JEWELLERY</vt:lpstr>
      <vt:lpstr>DATA'S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Manalo</dc:creator>
  <cp:lastModifiedBy>Enrique Villegas</cp:lastModifiedBy>
  <cp:lastPrinted>2026-03-03T10:08:04Z</cp:lastPrinted>
  <dcterms:created xsi:type="dcterms:W3CDTF">2025-07-18T15:18:00Z</dcterms:created>
  <dcterms:modified xsi:type="dcterms:W3CDTF">2026-07-25T06:40:54Z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917823B3AEE04127BB264E2EB1D1E26B</vt:lpwstr>
  </property>
  <property fmtid="{D5CDD505-2E9C-101B-9397-08002B2CF9AE}" pid="3" name="KSOProductBuildVer">
    <vt:lpwstr>1033-12.2.0.23155</vt:lpwstr>
  </property>
</Properties>
</file>